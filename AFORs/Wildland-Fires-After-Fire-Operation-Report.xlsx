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LDLAND FIRE AFOR" sheetId="1" r:id="rId4"/>
    <sheet state="visible" name="Sheet1" sheetId="2" r:id="rId5"/>
    <sheet state="hidden" name="Chart Data" sheetId="3" r:id="rId6"/>
  </sheets>
  <definedNames>
    <definedName name="RowTitleRegion2..F9">'WILDLAND FIRE AFOR'!$T$15</definedName>
    <definedName name="RowTitleRegion1..C9">'WILDLAND FIRE AFOR'!$B$15</definedName>
    <definedName name="ColumnTitleRegion4..B19.1">'WILDLAND FIRE AFOR'!$B$47</definedName>
    <definedName name="ColumnTitle2">#REF!</definedName>
    <definedName name="TaxRate">#REF!</definedName>
    <definedName name="ColumnTitleRegion3..B15.1">'WILDLAND FIRE AFOR'!$B$38</definedName>
    <definedName name="ColumnTitleRegion2..B13.1">'WILDLAND FIRE AFOR'!$B$31</definedName>
    <definedName name="RowTitleRegion1..E14">#REF!</definedName>
    <definedName name="Tax">#REF!</definedName>
    <definedName name="ColumnTitleRegion1..B11.1">'WILDLAND FIRE AFOR'!$B$25</definedName>
  </definedNames>
  <calcPr/>
  <extLst>
    <ext uri="GoogleSheetsCustomDataVersion2">
      <go:sheetsCustomData xmlns:go="http://customooxmlschemas.google.com/" r:id="rId7" roundtripDataChecksum="iCuZP8WNJlpxrTyA0gAHvSLk7+rtI4vvnzcIvsegGO0="/>
    </ext>
  </extLst>
</workbook>
</file>

<file path=xl/sharedStrings.xml><?xml version="1.0" encoding="utf-8"?>
<sst xmlns="http://schemas.openxmlformats.org/spreadsheetml/2006/main" count="139" uniqueCount="134">
  <si>
    <t>Republic of the Philippines</t>
  </si>
  <si>
    <t>Department of the Interior and Local Government</t>
  </si>
  <si>
    <t>BUREAU OF FIRE PROTECTION _____________</t>
  </si>
  <si>
    <t>Address _______________</t>
  </si>
  <si>
    <t>Telefax Number: ___________</t>
  </si>
  <si>
    <t>Email: __________</t>
  </si>
  <si>
    <t xml:space="preserve">AFTER FIRE OPERATIONS REPORT OF WILDLAND FIRE </t>
  </si>
  <si>
    <r>
      <rPr>
        <rFont val="Arial Black"/>
        <color theme="0"/>
        <sz val="16.0"/>
      </rPr>
      <t xml:space="preserve">A. </t>
    </r>
    <r>
      <rPr>
        <rFont val="Arial Black"/>
        <color theme="0"/>
        <sz val="10.0"/>
      </rPr>
      <t>DATES AND TIMES</t>
    </r>
  </si>
  <si>
    <r>
      <rPr>
        <rFont val="Arial Black"/>
        <color theme="0"/>
        <sz val="16.0"/>
      </rPr>
      <t>B.</t>
    </r>
    <r>
      <rPr>
        <rFont val="Arial Black"/>
        <color theme="0"/>
        <sz val="11.0"/>
      </rPr>
      <t xml:space="preserve"> </t>
    </r>
    <r>
      <rPr>
        <rFont val="Arial Black"/>
        <color theme="0"/>
        <sz val="10.0"/>
      </rPr>
      <t>CALLER/REPORTER INFORMATION</t>
    </r>
  </si>
  <si>
    <t>Month</t>
  </si>
  <si>
    <t>Day</t>
  </si>
  <si>
    <t>Year</t>
  </si>
  <si>
    <t>Time (24H)</t>
  </si>
  <si>
    <t>Date and Time Call Received:</t>
  </si>
  <si>
    <t>Caller/Reported/
Transmitted by:</t>
  </si>
  <si>
    <t>Yoshi Noya</t>
  </si>
  <si>
    <t>Date and Time Fire Started:</t>
  </si>
  <si>
    <t>Office/Address 
of the caller:</t>
  </si>
  <si>
    <t>Cubao, Quezon City</t>
  </si>
  <si>
    <t>Date and Time of Arrival:</t>
  </si>
  <si>
    <t>Personnel on duty who received the call:</t>
  </si>
  <si>
    <t>FO3 Juan De La Cruz</t>
  </si>
  <si>
    <t>Date and Time of Fire Controlled:</t>
  </si>
  <si>
    <r>
      <rPr>
        <rFont val="Arial Black"/>
        <color theme="0"/>
        <sz val="16.0"/>
      </rPr>
      <t xml:space="preserve">C. </t>
    </r>
    <r>
      <rPr>
        <rFont val="Arial Black"/>
        <color theme="0"/>
        <sz val="10.0"/>
      </rPr>
      <t>LOCATION AND DISTANCE OF THE INCIDENT</t>
    </r>
  </si>
  <si>
    <t>Location of the Incident</t>
  </si>
  <si>
    <t>Approx distance of fire incident to FS</t>
  </si>
  <si>
    <t>Engine Dispatched:</t>
  </si>
  <si>
    <t>Isuzu Morita Firetruck 636</t>
  </si>
  <si>
    <t>Apoy Road, Muntinlupa City</t>
  </si>
  <si>
    <t>20km</t>
  </si>
  <si>
    <r>
      <rPr>
        <rFont val="Arial Black"/>
        <b/>
        <color theme="0"/>
        <sz val="16.0"/>
      </rPr>
      <t>D.</t>
    </r>
    <r>
      <rPr>
        <rFont val="Arial Black"/>
        <b/>
        <color theme="0"/>
        <sz val="11.0"/>
      </rPr>
      <t xml:space="preserve"> </t>
    </r>
    <r>
      <rPr>
        <rFont val="Arial Black"/>
        <b/>
        <color theme="0"/>
        <sz val="10.0"/>
      </rPr>
      <t>ACTIONS TAKEN</t>
    </r>
  </si>
  <si>
    <r>
      <rPr>
        <rFont val="Arial Black"/>
        <b/>
        <color theme="0"/>
        <sz val="16.0"/>
      </rPr>
      <t>E.</t>
    </r>
    <r>
      <rPr>
        <rFont val="Arial Black"/>
        <b/>
        <color theme="0"/>
        <sz val="14.0"/>
      </rPr>
      <t xml:space="preserve"> </t>
    </r>
    <r>
      <rPr>
        <rFont val="Arial Black"/>
        <b/>
        <color theme="0"/>
        <sz val="10.0"/>
      </rPr>
      <t>ASSISTANCE GIVEN OR RECEIVED</t>
    </r>
  </si>
  <si>
    <r>
      <rPr>
        <rFont val="Arial Black"/>
        <b/>
        <color theme="0"/>
        <sz val="16.0"/>
      </rPr>
      <t>E</t>
    </r>
    <r>
      <rPr>
        <rFont val="Arial Black"/>
        <b/>
        <color theme="0"/>
        <sz val="12.0"/>
      </rPr>
      <t>1</t>
    </r>
    <r>
      <rPr>
        <rFont val="Arial Black"/>
        <b/>
        <color theme="0"/>
        <sz val="16.0"/>
      </rPr>
      <t xml:space="preserve">. </t>
    </r>
    <r>
      <rPr>
        <rFont val="Arial Black"/>
        <b/>
        <color theme="0"/>
        <sz val="9.0"/>
      </rPr>
      <t>ACTIVITIES COMBINED</t>
    </r>
    <r>
      <rPr>
        <rFont val="Arial Black"/>
        <b/>
        <color theme="0"/>
        <sz val="6.0"/>
      </rPr>
      <t xml:space="preserve"> (Augmentation)</t>
    </r>
  </si>
  <si>
    <t>Indicate the no of aid received or given</t>
  </si>
  <si>
    <t>Primary Action Taken:</t>
  </si>
  <si>
    <t>Extinguished the fire</t>
  </si>
  <si>
    <t>MDRRM - 4</t>
  </si>
  <si>
    <t>Additional Action Taken:</t>
  </si>
  <si>
    <t>Provided first aid</t>
  </si>
  <si>
    <t>MPS - 4</t>
  </si>
  <si>
    <t>Overhauled the scene</t>
  </si>
  <si>
    <t>Quezon City FS - 2</t>
  </si>
  <si>
    <r>
      <rPr>
        <rFont val="Arial Black"/>
        <b/>
        <color theme="0"/>
        <sz val="16.0"/>
      </rPr>
      <t>G.</t>
    </r>
    <r>
      <rPr>
        <rFont val="Arial Black"/>
        <b/>
        <color theme="0"/>
        <sz val="12.0"/>
      </rPr>
      <t xml:space="preserve"> </t>
    </r>
    <r>
      <rPr>
        <rFont val="Arial Black"/>
        <b/>
        <color theme="0"/>
        <sz val="10.0"/>
      </rPr>
      <t>AREA TYPE</t>
    </r>
  </si>
  <si>
    <r>
      <rPr>
        <rFont val="Arial Black"/>
        <b/>
        <color theme="0"/>
        <sz val="18.0"/>
      </rPr>
      <t xml:space="preserve">H. </t>
    </r>
    <r>
      <rPr>
        <rFont val="Arial Black"/>
        <b/>
        <color theme="0"/>
        <sz val="10.0"/>
      </rPr>
      <t>CAUSES AND FACTORS CONTRIBUTING TO IGNITION</t>
    </r>
  </si>
  <si>
    <r>
      <rPr>
        <rFont val="Arial Black"/>
        <b/>
        <color theme="0"/>
        <sz val="16.0"/>
      </rPr>
      <t>I.</t>
    </r>
    <r>
      <rPr>
        <rFont val="Arial Black"/>
        <b/>
        <color theme="0"/>
        <sz val="14.0"/>
      </rPr>
      <t xml:space="preserve"> </t>
    </r>
    <r>
      <rPr>
        <rFont val="Arial Black"/>
        <b/>
        <color theme="0"/>
        <sz val="10.0"/>
      </rPr>
      <t>FIRE SUPPRESSION FACTORS</t>
    </r>
  </si>
  <si>
    <t>Military Activity</t>
  </si>
  <si>
    <t>Explosive Hazard</t>
  </si>
  <si>
    <r>
      <rPr>
        <rFont val="Arial Black"/>
        <b/>
        <color theme="0"/>
        <sz val="16.0"/>
      </rPr>
      <t xml:space="preserve">J. </t>
    </r>
    <r>
      <rPr>
        <rFont val="Arial Black"/>
        <b/>
        <color theme="0"/>
        <sz val="10.0"/>
      </rPr>
      <t>BUILDINGS INVOLVED</t>
    </r>
  </si>
  <si>
    <r>
      <rPr>
        <rFont val="Arial Black"/>
        <b/>
        <color theme="0"/>
        <sz val="16.0"/>
      </rPr>
      <t>K.</t>
    </r>
    <r>
      <rPr>
        <rFont val="Arial Black"/>
        <b/>
        <color theme="0"/>
        <sz val="12.0"/>
      </rPr>
      <t xml:space="preserve"> </t>
    </r>
    <r>
      <rPr>
        <rFont val="Arial Black"/>
        <b/>
        <color theme="0"/>
        <sz val="10.0"/>
      </rPr>
      <t>BUILDINGS THREATENED</t>
    </r>
  </si>
  <si>
    <r>
      <rPr>
        <rFont val="Arial Black"/>
        <b/>
        <color theme="0"/>
        <sz val="18.0"/>
      </rPr>
      <t>L</t>
    </r>
    <r>
      <rPr>
        <rFont val="Arial Black"/>
        <b/>
        <color theme="0"/>
        <sz val="12.0"/>
      </rPr>
      <t>. PROPERTY MANAGEMENT</t>
    </r>
  </si>
  <si>
    <r>
      <rPr>
        <rFont val="Arial Black"/>
        <b/>
        <color theme="0"/>
        <sz val="16.0"/>
      </rPr>
      <t xml:space="preserve">M. </t>
    </r>
    <r>
      <rPr>
        <rFont val="Arial Black"/>
        <b/>
        <color theme="0"/>
        <sz val="12.0"/>
      </rPr>
      <t>WEATHER INFORMATION</t>
    </r>
  </si>
  <si>
    <t>Enter total no of buildings involved</t>
  </si>
  <si>
    <t>Enter total no of buildings threathened</t>
  </si>
  <si>
    <t>OWNERSHIP</t>
  </si>
  <si>
    <t>% Total area burned</t>
  </si>
  <si>
    <t>Weather Type</t>
  </si>
  <si>
    <t>Clear or Sunny Skies</t>
  </si>
  <si>
    <r>
      <rPr>
        <rFont val="Arial Black"/>
        <b/>
        <color theme="0"/>
        <sz val="16.0"/>
      </rPr>
      <t xml:space="preserve">N. </t>
    </r>
    <r>
      <rPr>
        <rFont val="Arial Black"/>
        <b/>
        <color theme="0"/>
        <sz val="10.0"/>
      </rPr>
      <t>TOTAL AREA BURNED</t>
    </r>
    <r>
      <rPr>
        <rFont val="Arial Black"/>
        <b/>
        <color theme="0"/>
        <sz val="6.0"/>
      </rPr>
      <t xml:space="preserve"> </t>
    </r>
  </si>
  <si>
    <r>
      <rPr>
        <rFont val="Arial Black"/>
        <b/>
        <color theme="0"/>
        <sz val="16.0"/>
      </rPr>
      <t>O.</t>
    </r>
    <r>
      <rPr>
        <rFont val="Arial Black"/>
        <b/>
        <color theme="0"/>
        <sz val="14.0"/>
      </rPr>
      <t xml:space="preserve"> </t>
    </r>
    <r>
      <rPr>
        <rFont val="Arial Black"/>
        <b/>
        <color theme="0"/>
        <sz val="10.0"/>
      </rPr>
      <t>TYPE OF WILDLAND FIRE</t>
    </r>
  </si>
  <si>
    <t>Wind Direction</t>
  </si>
  <si>
    <t>Southeast</t>
  </si>
  <si>
    <t>Moderate</t>
  </si>
  <si>
    <t>Enter total no of area burned (in ha/sqm)</t>
  </si>
  <si>
    <t>Click the drop down list</t>
  </si>
  <si>
    <t>50 ha</t>
  </si>
  <si>
    <t>Peatland Fire</t>
  </si>
  <si>
    <t>Wind Speed (mph)</t>
  </si>
  <si>
    <t>Relative Humidity</t>
  </si>
  <si>
    <r>
      <rPr>
        <rFont val="Arial Black"/>
        <b/>
        <color theme="0"/>
        <sz val="16.0"/>
      </rPr>
      <t xml:space="preserve">P. </t>
    </r>
    <r>
      <rPr>
        <rFont val="Arial Black"/>
        <b/>
        <color theme="0"/>
        <sz val="12.0"/>
      </rPr>
      <t>FIRE BEHAVIOR</t>
    </r>
  </si>
  <si>
    <r>
      <rPr>
        <rFont val="Arial Black"/>
        <b/>
        <color theme="0"/>
        <sz val="16.0"/>
      </rPr>
      <t xml:space="preserve">P. </t>
    </r>
    <r>
      <rPr>
        <rFont val="Arial Black"/>
        <b/>
        <color theme="0"/>
        <sz val="12.0"/>
      </rPr>
      <t>TIME ALARM STATUS DECLARED</t>
    </r>
  </si>
  <si>
    <r>
      <rPr>
        <rFont val="Arial Black"/>
        <b/>
        <color theme="0"/>
        <sz val="16.0"/>
      </rPr>
      <t>Q.</t>
    </r>
    <r>
      <rPr>
        <rFont val="Arial Black"/>
        <b/>
        <color theme="0"/>
        <sz val="12.0"/>
      </rPr>
      <t xml:space="preserve"> TIME ALAM STATUS DECLARED </t>
    </r>
  </si>
  <si>
    <r>
      <rPr>
        <rFont val="Arial Black"/>
        <b/>
        <color theme="0"/>
        <sz val="16.0"/>
      </rPr>
      <t>R.</t>
    </r>
    <r>
      <rPr>
        <rFont val="Arial Black"/>
        <b/>
        <color theme="0"/>
        <sz val="9.0"/>
      </rPr>
      <t xml:space="preserve"> ESTIMATED PESO LOSSES AND VALUE </t>
    </r>
    <r>
      <rPr>
        <rFont val="Arial Black"/>
        <b/>
        <color theme="0"/>
        <sz val="8.0"/>
      </rPr>
      <t xml:space="preserve"> (as assessed by the DENR)</t>
    </r>
  </si>
  <si>
    <t>ALARM STATUS</t>
  </si>
  <si>
    <t>TIME</t>
  </si>
  <si>
    <t>GROUND COMMANDER</t>
  </si>
  <si>
    <t>PRE-INCIDENT VALUE</t>
  </si>
  <si>
    <t>LOSSES</t>
  </si>
  <si>
    <t>1st Alarm</t>
  </si>
  <si>
    <t>1900H</t>
  </si>
  <si>
    <t>Property</t>
  </si>
  <si>
    <t>Contents</t>
  </si>
  <si>
    <t>Elevation (in feet)</t>
  </si>
  <si>
    <t>2nd Alarm</t>
  </si>
  <si>
    <t>2000H</t>
  </si>
  <si>
    <t>SFO3 Juana De La Cruz</t>
  </si>
  <si>
    <t>Relative position slope</t>
  </si>
  <si>
    <t>Mid Slope</t>
  </si>
  <si>
    <t>3rd Alarm</t>
  </si>
  <si>
    <t>Aspect</t>
  </si>
  <si>
    <t>Northwest</t>
  </si>
  <si>
    <t>4th Alarm</t>
  </si>
  <si>
    <r>
      <rPr>
        <rFont val="Arial Black"/>
        <b/>
        <color theme="0"/>
        <sz val="16.0"/>
      </rPr>
      <t>S.</t>
    </r>
    <r>
      <rPr>
        <rFont val="Arial Black"/>
        <b/>
        <color theme="0"/>
        <sz val="12.0"/>
      </rPr>
      <t xml:space="preserve"> </t>
    </r>
    <r>
      <rPr>
        <rFont val="Arial Black"/>
        <b/>
        <color theme="0"/>
        <sz val="10.0"/>
      </rPr>
      <t>CASUALTIES</t>
    </r>
  </si>
  <si>
    <t>Flame length (in feet)</t>
  </si>
  <si>
    <t>Task Force Alpha</t>
  </si>
  <si>
    <t>Death</t>
  </si>
  <si>
    <t>Injured</t>
  </si>
  <si>
    <t>Missing</t>
  </si>
  <si>
    <t>Rate of spread 
(chains per hour)</t>
  </si>
  <si>
    <t>Task Force Bravo</t>
  </si>
  <si>
    <t>BFP</t>
  </si>
  <si>
    <t>General Alarm</t>
  </si>
  <si>
    <t>CIVILIAN</t>
  </si>
  <si>
    <t>Ongoing</t>
  </si>
  <si>
    <t>Fire Out</t>
  </si>
  <si>
    <t>Fire Under Control</t>
  </si>
  <si>
    <t>Fire Out Upon Arrival</t>
  </si>
  <si>
    <t>Fire Under Investigation</t>
  </si>
  <si>
    <t>Late Reported</t>
  </si>
  <si>
    <t>Unresponded</t>
  </si>
  <si>
    <t>No Firefighting Conducted</t>
  </si>
  <si>
    <r>
      <rPr>
        <rFont val="Arial Black"/>
        <b/>
        <color theme="0"/>
        <sz val="14.0"/>
      </rPr>
      <t>T.</t>
    </r>
    <r>
      <rPr>
        <rFont val="Arial Black"/>
        <b/>
        <color theme="0"/>
        <sz val="16.0"/>
      </rPr>
      <t xml:space="preserve"> </t>
    </r>
    <r>
      <rPr>
        <rFont val="Arial Black"/>
        <b/>
        <color theme="0"/>
        <sz val="10.0"/>
      </rPr>
      <t>NARRATION OF EVENTS TRANSPIRED</t>
    </r>
  </si>
  <si>
    <r>
      <rPr>
        <rFont val="Arial"/>
        <color rgb="FF244800"/>
        <sz val="12.0"/>
      </rPr>
      <t xml:space="preserve">On or about </t>
    </r>
    <r>
      <rPr>
        <rFont val="Arial"/>
        <color rgb="FF244800"/>
        <sz val="12.0"/>
        <u/>
      </rPr>
      <t>28 0800H September 2023</t>
    </r>
    <r>
      <rPr>
        <rFont val="Arial"/>
        <color rgb="FF244800"/>
        <sz val="12.0"/>
      </rPr>
      <t xml:space="preserve"> (time and date received call), </t>
    </r>
    <r>
      <rPr>
        <rFont val="Arial"/>
        <color rgb="FF244800"/>
        <sz val="12.0"/>
        <u/>
      </rPr>
      <t xml:space="preserve">Valenzuela Fire Station </t>
    </r>
    <r>
      <rPr>
        <rFont val="Arial"/>
        <color rgb="FF244800"/>
        <sz val="12.0"/>
      </rPr>
      <t xml:space="preserve">(fire station) received a call from </t>
    </r>
    <r>
      <rPr>
        <rFont val="Arial"/>
        <color rgb="FF244800"/>
        <sz val="12.0"/>
        <u/>
      </rPr>
      <t>Brgy. Tanod, with address at Bagbaguin 3S Center</t>
    </r>
    <r>
      <rPr>
        <rFont val="Arial"/>
        <color rgb="FF244800"/>
        <sz val="12.0"/>
      </rPr>
      <t xml:space="preserve"> (name of caller/reporter and address of caller) regarding an </t>
    </r>
    <r>
      <rPr>
        <rFont val="Arial"/>
        <color rgb="FF244800"/>
        <sz val="12.0"/>
        <u/>
      </rPr>
      <t>industrial fire</t>
    </r>
    <r>
      <rPr>
        <rFont val="Arial"/>
        <color rgb="FF244800"/>
        <sz val="12.0"/>
      </rPr>
      <t xml:space="preserve"> (type of occupancy) that transpired in </t>
    </r>
    <r>
      <rPr>
        <rFont val="Arial"/>
        <color rgb="FF244800"/>
        <sz val="12.0"/>
        <u/>
      </rPr>
      <t>Herco Trading/G. Molina St., Brgy. Bagbaguin, Valenzuela</t>
    </r>
    <r>
      <rPr>
        <rFont val="Arial"/>
        <color rgb="FF244800"/>
        <sz val="12.0"/>
      </rPr>
      <t xml:space="preserve"> (location of the fire incident). 
Thereafter, Engine 87 Tanker (engine dispatched) was dispatched on or about 1230H (time of dispatch) and arrived on the fire scene at 1231H (time arrived at fire scene).Upon arrival, FO3 Adrian A Tolentino (Shift-in-Charge) size-up the fire area and found out that ___________ (state findings/cause of fire) (state the number of fire trucks tapped or auxiliary present).
On or about 1231H (time alarm status declared) FO3 Adrian A Tolentino (who declared/raised the alarm) declared the alarm status to first alarm. A total of 15 injured civilians was reported (state number of casualty/death).
On or about 1 1824H October 2023, the fire was declared under control by _________ (Shift-in-Charge). After overhauling and declaring the area safe to be abandoned, Engine 87 Tanker (engine dispatched) returned to the station and placed in service at 1 1831H October 2023 (time and date returned to base).</t>
    </r>
  </si>
  <si>
    <r>
      <rPr>
        <rFont val="Arial Black"/>
        <b/>
        <color theme="0"/>
        <sz val="14.0"/>
      </rPr>
      <t>U.</t>
    </r>
    <r>
      <rPr>
        <rFont val="Arial Black"/>
        <b/>
        <color theme="0"/>
        <sz val="16.0"/>
      </rPr>
      <t xml:space="preserve"> </t>
    </r>
    <r>
      <rPr>
        <rFont val="Arial Black"/>
        <b/>
        <color theme="0"/>
        <sz val="10.0"/>
      </rPr>
      <t>PROBLEM (S) ENCOUNTERED DURING FIREFIGHTING OPERATION</t>
    </r>
  </si>
  <si>
    <t>1. Rough terrain prevented the fire truck from reaching the scene.</t>
  </si>
  <si>
    <t>2. Lack of resources for monitoring the distance of the fire occurrence, such as a drone or binoculars.</t>
  </si>
  <si>
    <t>3. Lack of operational funds for firefighting operations.</t>
  </si>
  <si>
    <t>4. Firefighting was difficult at night due to the absence of effective vision devices.</t>
  </si>
  <si>
    <r>
      <rPr>
        <rFont val="Arial Black"/>
        <b/>
        <color theme="0"/>
        <sz val="14.0"/>
      </rPr>
      <t xml:space="preserve">V. </t>
    </r>
    <r>
      <rPr>
        <rFont val="Arial Black"/>
        <b/>
        <color theme="0"/>
        <sz val="12.0"/>
      </rPr>
      <t>RECOMMENDATION (S)</t>
    </r>
  </si>
  <si>
    <t>1. To acquire mobility resources suitable for any terrain for helping identify and investigate forest fires.</t>
  </si>
  <si>
    <t>2. To procure drone and binoculars for better visualizing the magnitude of forest fires. </t>
  </si>
  <si>
    <t>3. Relevant training on forest firefighting.</t>
  </si>
  <si>
    <t>4. Additional funding for forest firefighting and investigation.</t>
  </si>
  <si>
    <t>Prepared by:</t>
  </si>
  <si>
    <t>Noted by:</t>
  </si>
  <si>
    <t>Staff, Operations Section</t>
  </si>
  <si>
    <t>Chief, Operations Section</t>
  </si>
  <si>
    <t>Type of wildland fire</t>
  </si>
  <si>
    <t>Agricultural Land Fire</t>
  </si>
  <si>
    <t>Brush Fire</t>
  </si>
  <si>
    <t>Forest Fire</t>
  </si>
  <si>
    <t>Grassland Fire</t>
  </si>
  <si>
    <t>Grazing Land Fire</t>
  </si>
  <si>
    <t xml:space="preserve">Mineral Land Fire </t>
  </si>
  <si>
    <t>Total</t>
  </si>
</sst>
</file>

<file path=xl/styles.xml><?xml version="1.0" encoding="utf-8"?>
<styleSheet xmlns="http://schemas.openxmlformats.org/spreadsheetml/2006/main" xmlns:x14ac="http://schemas.microsoft.com/office/spreadsheetml/2009/9/ac" xmlns:mc="http://schemas.openxmlformats.org/markup-compatibility/2006">
  <fonts count="44">
    <font>
      <sz val="11.0"/>
      <color rgb="FF595959"/>
      <name val="Arial"/>
      <scheme val="minor"/>
    </font>
    <font>
      <sz val="11.0"/>
      <color rgb="FF595959"/>
      <name val="Arial"/>
    </font>
    <font>
      <sz val="11.0"/>
      <color theme="1"/>
      <name val="Arial"/>
    </font>
    <font>
      <sz val="10.0"/>
      <color theme="1"/>
      <name val="Arial"/>
    </font>
    <font/>
    <font>
      <sz val="11.0"/>
      <color rgb="FF244800"/>
      <name val="Arial"/>
    </font>
    <font>
      <sz val="16.0"/>
      <color rgb="FF244800"/>
      <name val="Arial Black"/>
    </font>
    <font>
      <sz val="11.0"/>
      <color rgb="FF595959"/>
      <name val="Arial Black"/>
    </font>
    <font>
      <sz val="11.0"/>
      <color theme="0"/>
      <name val="Arial Black"/>
    </font>
    <font>
      <sz val="12.0"/>
      <color theme="0"/>
      <name val="Arial Black"/>
    </font>
    <font>
      <sz val="9.0"/>
      <color theme="1"/>
      <name val="Arial Black"/>
    </font>
    <font>
      <sz val="14.0"/>
      <color theme="0"/>
      <name val="Arial Black"/>
    </font>
    <font>
      <b/>
      <sz val="10.0"/>
      <color rgb="FF244800"/>
      <name val="Arial"/>
    </font>
    <font>
      <sz val="12.0"/>
      <color rgb="FF244800"/>
      <name val="Arial"/>
    </font>
    <font>
      <sz val="10.0"/>
      <color rgb="FF244800"/>
      <name val="Arial"/>
    </font>
    <font>
      <b/>
      <sz val="12.0"/>
      <color rgb="FF244800"/>
      <name val="Arial"/>
    </font>
    <font>
      <b/>
      <sz val="11.0"/>
      <color rgb="FF244800"/>
      <name val="Arial"/>
    </font>
    <font>
      <b/>
      <sz val="10.0"/>
      <color rgb="FFFF0000"/>
      <name val="Arial"/>
    </font>
    <font>
      <b/>
      <sz val="8.0"/>
      <color rgb="FFFF0000"/>
      <name val="Arial"/>
    </font>
    <font>
      <b/>
      <sz val="11.0"/>
      <color theme="0"/>
      <name val="Arial Black"/>
    </font>
    <font>
      <b/>
      <sz val="12.0"/>
      <color theme="0"/>
      <name val="Arial Black"/>
    </font>
    <font>
      <b/>
      <sz val="16.0"/>
      <color theme="0"/>
      <name val="Arial Black"/>
    </font>
    <font>
      <b/>
      <sz val="12.0"/>
      <color rgb="FF244800"/>
      <name val="Arial Black"/>
    </font>
    <font>
      <b/>
      <sz val="14.0"/>
      <color rgb="FF244800"/>
      <name val="Arial Black"/>
    </font>
    <font>
      <b/>
      <sz val="14.0"/>
      <color rgb="FF595959"/>
      <name val="Arial Black"/>
    </font>
    <font>
      <b/>
      <sz val="9.0"/>
      <color rgb="FF244800"/>
      <name val="Arial Black"/>
    </font>
    <font>
      <b/>
      <sz val="10.0"/>
      <color rgb="FF244800"/>
      <name val="Arial Black"/>
    </font>
    <font>
      <b/>
      <sz val="14.0"/>
      <color theme="0"/>
      <name val="Arial Black"/>
    </font>
    <font>
      <sz val="12.0"/>
      <color theme="1"/>
      <name val="Arial"/>
    </font>
    <font>
      <b/>
      <sz val="8.0"/>
      <color rgb="FFFF0000"/>
      <name val="Arial Black"/>
    </font>
    <font>
      <sz val="12.0"/>
      <color rgb="FF595959"/>
      <name val="Arial"/>
    </font>
    <font>
      <b/>
      <sz val="8.0"/>
      <color rgb="FF244800"/>
      <name val="Arial Black"/>
    </font>
    <font>
      <sz val="9.0"/>
      <color rgb="FF244800"/>
      <name val="Arial"/>
    </font>
    <font>
      <b/>
      <sz val="7.0"/>
      <color rgb="FFFF0000"/>
      <name val="Arial Black"/>
    </font>
    <font>
      <b/>
      <sz val="9.0"/>
      <color rgb="FFFF0000"/>
      <name val="Arial Black"/>
    </font>
    <font>
      <b/>
      <sz val="7.0"/>
      <color rgb="FF244800"/>
      <name val="Arial Black"/>
    </font>
    <font>
      <b/>
      <sz val="11.0"/>
      <color rgb="FF595959"/>
      <name val="Arial"/>
    </font>
    <font>
      <b/>
      <sz val="9.0"/>
      <color theme="0"/>
      <name val="Arial Black"/>
    </font>
    <font>
      <b/>
      <sz val="8.0"/>
      <color rgb="FF595959"/>
      <name val="Arial Black"/>
    </font>
    <font>
      <sz val="9.0"/>
      <color rgb="FF595959"/>
      <name val="Arial"/>
    </font>
    <font>
      <b/>
      <sz val="12.0"/>
      <color theme="1"/>
      <name val="Arial"/>
    </font>
    <font>
      <sz val="11.0"/>
      <color theme="1"/>
      <name val="Arial Black"/>
    </font>
    <font>
      <b/>
      <sz val="11.0"/>
      <color theme="1"/>
      <name val="Arial Black"/>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244800"/>
        <bgColor rgb="FF244800"/>
      </patternFill>
    </fill>
    <fill>
      <patternFill patternType="solid">
        <fgColor theme="0"/>
        <bgColor theme="0"/>
      </patternFill>
    </fill>
    <fill>
      <patternFill patternType="solid">
        <fgColor rgb="FFF1D176"/>
        <bgColor rgb="FFF1D176"/>
      </patternFill>
    </fill>
  </fills>
  <borders count="39">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top/>
      <bottom/>
    </border>
    <border>
      <left/>
      <top/>
      <bottom/>
    </border>
    <border>
      <right style="thin">
        <color rgb="FF000000"/>
      </right>
      <top/>
      <bottom/>
    </border>
    <border>
      <left style="thin">
        <color rgb="FF000000"/>
      </left>
      <right style="thin">
        <color rgb="FF000000"/>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border>
    <border>
      <right style="thin">
        <color rgb="FF000000"/>
      </right>
    </border>
    <border>
      <right style="thin">
        <color rgb="FF000000"/>
      </right>
      <top style="thin">
        <color rgb="FF000000"/>
      </top>
      <bottom/>
    </border>
  </borders>
  <cellStyleXfs count="1">
    <xf borderId="0" fillId="0" fontId="0" numFmtId="0" applyAlignment="1" applyFont="1"/>
  </cellStyleXfs>
  <cellXfs count="203">
    <xf borderId="0" fillId="0" fontId="0" numFmtId="0" xfId="0" applyAlignment="1" applyFont="1">
      <alignment horizontal="left" readingOrder="0" shrinkToFit="0" vertical="bottom" wrapText="1"/>
    </xf>
    <xf borderId="1" fillId="2" fontId="1" numFmtId="0" xfId="0" applyAlignment="1" applyBorder="1" applyFill="1" applyFont="1">
      <alignment horizontal="left" shrinkToFit="0" wrapText="1"/>
    </xf>
    <xf borderId="2" fillId="2" fontId="1" numFmtId="0" xfId="0" applyAlignment="1" applyBorder="1" applyFont="1">
      <alignment horizontal="left" shrinkToFit="0" wrapText="1"/>
    </xf>
    <xf borderId="3" fillId="2" fontId="1" numFmtId="0" xfId="0" applyAlignment="1" applyBorder="1" applyFont="1">
      <alignment horizontal="left" shrinkToFit="0" wrapText="1"/>
    </xf>
    <xf borderId="4" fillId="2" fontId="1" numFmtId="0" xfId="0" applyAlignment="1" applyBorder="1" applyFont="1">
      <alignment horizontal="left" shrinkToFit="0" wrapText="1"/>
    </xf>
    <xf borderId="1" fillId="3" fontId="1" numFmtId="0" xfId="0" applyAlignment="1" applyBorder="1" applyFill="1" applyFont="1">
      <alignment horizontal="left" shrinkToFit="0" wrapText="1"/>
    </xf>
    <xf borderId="5" fillId="2" fontId="1" numFmtId="0" xfId="0" applyAlignment="1" applyBorder="1" applyFont="1">
      <alignment horizontal="left" shrinkToFit="0" wrapText="1"/>
    </xf>
    <xf borderId="6" fillId="2" fontId="1" numFmtId="0" xfId="0" applyAlignment="1" applyBorder="1" applyFont="1">
      <alignment horizontal="left" shrinkToFit="0" wrapText="1"/>
    </xf>
    <xf borderId="1" fillId="2" fontId="2" numFmtId="0" xfId="0" applyAlignment="1" applyBorder="1" applyFont="1">
      <alignment horizontal="left" shrinkToFit="0" wrapText="1"/>
    </xf>
    <xf borderId="7" fillId="2" fontId="3" numFmtId="0" xfId="0" applyAlignment="1" applyBorder="1" applyFont="1">
      <alignment horizontal="center" shrinkToFit="0" vertical="center" wrapText="0"/>
    </xf>
    <xf borderId="8" fillId="0" fontId="4" numFmtId="0" xfId="0" applyAlignment="1" applyBorder="1" applyFont="1">
      <alignment horizontal="left" shrinkToFit="0" wrapText="1"/>
    </xf>
    <xf borderId="9" fillId="0" fontId="4" numFmtId="0" xfId="0" applyAlignment="1" applyBorder="1" applyFont="1">
      <alignment horizontal="left" shrinkToFit="0" wrapText="1"/>
    </xf>
    <xf borderId="1" fillId="3" fontId="2" numFmtId="0" xfId="0" applyAlignment="1" applyBorder="1" applyFont="1">
      <alignment horizontal="left" shrinkToFit="0" wrapText="1"/>
    </xf>
    <xf borderId="0" fillId="0" fontId="2" numFmtId="0" xfId="0" applyAlignment="1" applyFont="1">
      <alignment horizontal="left" shrinkToFit="0" wrapText="1"/>
    </xf>
    <xf borderId="1" fillId="2" fontId="5" numFmtId="0" xfId="0" applyAlignment="1" applyBorder="1" applyFont="1">
      <alignment horizontal="left" shrinkToFit="0" wrapText="1"/>
    </xf>
    <xf borderId="5" fillId="2" fontId="5" numFmtId="0" xfId="0" applyAlignment="1" applyBorder="1" applyFont="1">
      <alignment horizontal="center" shrinkToFit="0" vertical="center" wrapText="0"/>
    </xf>
    <xf borderId="1" fillId="2" fontId="5" numFmtId="0" xfId="0" applyAlignment="1" applyBorder="1" applyFont="1">
      <alignment horizontal="center" shrinkToFit="0" vertical="center" wrapText="0"/>
    </xf>
    <xf borderId="6" fillId="2" fontId="5" numFmtId="0" xfId="0" applyAlignment="1" applyBorder="1" applyFont="1">
      <alignment horizontal="center" shrinkToFit="0" vertical="center" wrapText="0"/>
    </xf>
    <xf borderId="7" fillId="2" fontId="6" numFmtId="0" xfId="0" applyAlignment="1" applyBorder="1" applyFont="1">
      <alignment horizontal="center" shrinkToFit="0" vertical="center" wrapText="0"/>
    </xf>
    <xf borderId="1" fillId="2" fontId="7" numFmtId="0" xfId="0" applyAlignment="1" applyBorder="1" applyFont="1">
      <alignment horizontal="left" shrinkToFit="0" vertical="center" wrapText="1"/>
    </xf>
    <xf borderId="7" fillId="4" fontId="8" numFmtId="0" xfId="0" applyAlignment="1" applyBorder="1" applyFill="1" applyFont="1">
      <alignment horizontal="left" shrinkToFit="0" vertical="center" wrapText="0"/>
    </xf>
    <xf borderId="10" fillId="4" fontId="8" numFmtId="0" xfId="0" applyAlignment="1" applyBorder="1" applyFont="1">
      <alignment horizontal="left" shrinkToFit="0" vertical="center" wrapText="0"/>
    </xf>
    <xf borderId="11" fillId="0" fontId="4" numFmtId="0" xfId="0" applyAlignment="1" applyBorder="1" applyFont="1">
      <alignment horizontal="left" shrinkToFit="0" wrapText="1"/>
    </xf>
    <xf borderId="1" fillId="4" fontId="8" numFmtId="0" xfId="0" applyAlignment="1" applyBorder="1" applyFont="1">
      <alignment horizontal="left" shrinkToFit="0" vertical="center" wrapText="0"/>
    </xf>
    <xf borderId="0" fillId="0" fontId="7" numFmtId="0" xfId="0" applyAlignment="1" applyFont="1">
      <alignment horizontal="left" shrinkToFit="0" vertical="center" wrapText="1"/>
    </xf>
    <xf borderId="5" fillId="3" fontId="9" numFmtId="0" xfId="0" applyAlignment="1" applyBorder="1" applyFont="1">
      <alignment horizontal="left" shrinkToFit="0" vertical="center" wrapText="0"/>
    </xf>
    <xf borderId="1" fillId="3" fontId="9" numFmtId="0" xfId="0" applyAlignment="1" applyBorder="1" applyFont="1">
      <alignment horizontal="left" shrinkToFit="0" vertical="center" wrapText="0"/>
    </xf>
    <xf borderId="10" fillId="3" fontId="10" numFmtId="0" xfId="0" applyAlignment="1" applyBorder="1" applyFont="1">
      <alignment horizontal="center" shrinkToFit="0" vertical="center" wrapText="0"/>
    </xf>
    <xf borderId="1" fillId="3" fontId="10" numFmtId="0" xfId="0" applyAlignment="1" applyBorder="1" applyFont="1">
      <alignment horizontal="center" shrinkToFit="0" vertical="center" wrapText="0"/>
    </xf>
    <xf borderId="6" fillId="3" fontId="11" numFmtId="0" xfId="0" applyAlignment="1" applyBorder="1" applyFont="1">
      <alignment horizontal="left" shrinkToFit="0" vertical="center" wrapText="0"/>
    </xf>
    <xf borderId="1" fillId="3" fontId="11" numFmtId="0" xfId="0" applyAlignment="1" applyBorder="1" applyFont="1">
      <alignment horizontal="left" shrinkToFit="0" vertical="center" wrapText="0"/>
    </xf>
    <xf borderId="5" fillId="3" fontId="12" numFmtId="0" xfId="0" applyAlignment="1" applyBorder="1" applyFont="1">
      <alignment horizontal="left" shrinkToFit="0" vertical="center" wrapText="1"/>
    </xf>
    <xf borderId="1" fillId="3" fontId="12" numFmtId="0" xfId="0" applyAlignment="1" applyBorder="1" applyFont="1">
      <alignment horizontal="left" shrinkToFit="0" wrapText="1"/>
    </xf>
    <xf borderId="12" fillId="3"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2" fontId="14" numFmtId="0" xfId="0" applyAlignment="1" applyBorder="1" applyFont="1">
      <alignment horizontal="left" shrinkToFit="0" wrapText="1"/>
    </xf>
    <xf borderId="1" fillId="3" fontId="12" numFmtId="0" xfId="0" applyAlignment="1" applyBorder="1" applyFont="1">
      <alignment horizontal="left" shrinkToFit="0" vertical="center" wrapText="1"/>
    </xf>
    <xf borderId="13" fillId="3" fontId="13" numFmtId="0" xfId="0" applyAlignment="1" applyBorder="1" applyFont="1">
      <alignment horizontal="center" shrinkToFit="0" vertical="center" wrapText="1"/>
    </xf>
    <xf borderId="14" fillId="0" fontId="4" numFmtId="0" xfId="0" applyAlignment="1" applyBorder="1" applyFont="1">
      <alignment horizontal="left" shrinkToFit="0" wrapText="1"/>
    </xf>
    <xf borderId="15" fillId="0" fontId="4" numFmtId="0" xfId="0" applyAlignment="1" applyBorder="1" applyFont="1">
      <alignment horizontal="left" shrinkToFit="0" wrapText="1"/>
    </xf>
    <xf borderId="1" fillId="3" fontId="14" numFmtId="0" xfId="0" applyAlignment="1" applyBorder="1" applyFont="1">
      <alignment horizontal="center" shrinkToFit="0" wrapText="1"/>
    </xf>
    <xf borderId="0" fillId="0" fontId="1" numFmtId="14" xfId="0" applyAlignment="1" applyFont="1" applyNumberFormat="1">
      <alignment horizontal="left" shrinkToFit="0" wrapText="1"/>
    </xf>
    <xf borderId="1" fillId="3" fontId="15" numFmtId="0" xfId="0" applyAlignment="1" applyBorder="1" applyFont="1">
      <alignment horizontal="left" shrinkToFit="0" wrapText="1"/>
    </xf>
    <xf borderId="6" fillId="3" fontId="13" numFmtId="0" xfId="0" applyAlignment="1" applyBorder="1" applyFont="1">
      <alignment horizontal="left" shrinkToFit="0" wrapText="1"/>
    </xf>
    <xf borderId="1" fillId="3" fontId="5" numFmtId="0" xfId="0" applyAlignment="1" applyBorder="1" applyFont="1">
      <alignment horizontal="left" shrinkToFit="0" wrapText="1"/>
    </xf>
    <xf borderId="1" fillId="5" fontId="12" numFmtId="0" xfId="0" applyAlignment="1" applyBorder="1" applyFill="1" applyFont="1">
      <alignment horizontal="left" shrinkToFit="0" wrapText="1"/>
    </xf>
    <xf borderId="6" fillId="5" fontId="5" numFmtId="0" xfId="0" applyAlignment="1" applyBorder="1" applyFont="1">
      <alignment horizontal="left" shrinkToFit="0" wrapText="1"/>
    </xf>
    <xf borderId="1" fillId="5" fontId="5" numFmtId="0" xfId="0" applyAlignment="1" applyBorder="1" applyFont="1">
      <alignment horizontal="left" shrinkToFit="0" wrapText="1"/>
    </xf>
    <xf borderId="1" fillId="5" fontId="1" numFmtId="0" xfId="0" applyAlignment="1" applyBorder="1" applyFont="1">
      <alignment horizontal="left" shrinkToFit="0" wrapText="1"/>
    </xf>
    <xf borderId="5" fillId="5" fontId="12" numFmtId="0" xfId="0" applyAlignment="1" applyBorder="1" applyFont="1">
      <alignment horizontal="left" shrinkToFit="0" wrapText="1"/>
    </xf>
    <xf borderId="10" fillId="5" fontId="16" numFmtId="0" xfId="0" applyAlignment="1" applyBorder="1" applyFont="1">
      <alignment horizontal="center" shrinkToFit="0" wrapText="1"/>
    </xf>
    <xf borderId="1" fillId="5" fontId="14" numFmtId="0" xfId="0" applyAlignment="1" applyBorder="1" applyFont="1">
      <alignment horizontal="left" shrinkToFit="0" wrapText="1"/>
    </xf>
    <xf borderId="13" fillId="3" fontId="17" numFmtId="0" xfId="0" applyAlignment="1" applyBorder="1" applyFont="1">
      <alignment horizontal="center" shrinkToFit="0" wrapText="1"/>
    </xf>
    <xf borderId="16" fillId="3" fontId="18" numFmtId="0" xfId="0" applyAlignment="1" applyBorder="1" applyFont="1">
      <alignment horizontal="center" shrinkToFit="0" wrapText="1"/>
    </xf>
    <xf borderId="1" fillId="3" fontId="18" numFmtId="0" xfId="0" applyAlignment="1" applyBorder="1" applyFont="1">
      <alignment horizontal="center" shrinkToFit="0" wrapText="1"/>
    </xf>
    <xf borderId="17" fillId="3" fontId="13" numFmtId="0" xfId="0" applyAlignment="1" applyBorder="1" applyFont="1">
      <alignment horizontal="center" shrinkToFit="0" vertical="center" wrapText="1"/>
    </xf>
    <xf borderId="18" fillId="0" fontId="4" numFmtId="0" xfId="0" applyAlignment="1" applyBorder="1" applyFont="1">
      <alignment horizontal="left" shrinkToFit="0" wrapText="1"/>
    </xf>
    <xf borderId="19" fillId="0" fontId="4" numFmtId="0" xfId="0" applyAlignment="1" applyBorder="1" applyFont="1">
      <alignment horizontal="left" shrinkToFit="0" wrapText="1"/>
    </xf>
    <xf borderId="1" fillId="3" fontId="3" numFmtId="0" xfId="0" applyAlignment="1" applyBorder="1" applyFont="1">
      <alignment horizontal="center" shrinkToFit="0" wrapText="1"/>
    </xf>
    <xf borderId="5" fillId="2" fontId="16" numFmtId="0" xfId="0" applyAlignment="1" applyBorder="1" applyFont="1">
      <alignment horizontal="left" shrinkToFit="0" wrapText="1"/>
    </xf>
    <xf borderId="1" fillId="2" fontId="16" numFmtId="0" xfId="0" applyAlignment="1" applyBorder="1" applyFont="1">
      <alignment horizontal="left" shrinkToFit="0" wrapText="1"/>
    </xf>
    <xf borderId="1" fillId="2" fontId="12" numFmtId="0" xfId="0" applyAlignment="1" applyBorder="1" applyFont="1">
      <alignment horizontal="left" shrinkToFit="0" wrapText="1"/>
    </xf>
    <xf borderId="6" fillId="2" fontId="5" numFmtId="0" xfId="0" applyAlignment="1" applyBorder="1" applyFont="1">
      <alignment horizontal="left" shrinkToFit="0" wrapText="1"/>
    </xf>
    <xf borderId="1" fillId="2" fontId="7" numFmtId="0" xfId="0" applyAlignment="1" applyBorder="1" applyFont="1">
      <alignment horizontal="left" shrinkToFit="0" wrapText="1"/>
    </xf>
    <xf borderId="7" fillId="4" fontId="19" numFmtId="0" xfId="0" applyAlignment="1" applyBorder="1" applyFont="1">
      <alignment horizontal="left" shrinkToFit="0" vertical="center" wrapText="0"/>
    </xf>
    <xf borderId="1" fillId="3" fontId="20" numFmtId="0" xfId="0" applyAlignment="1" applyBorder="1" applyFont="1">
      <alignment horizontal="left" shrinkToFit="0" vertical="center" wrapText="0"/>
    </xf>
    <xf borderId="1" fillId="2" fontId="20" numFmtId="0" xfId="0" applyAlignment="1" applyBorder="1" applyFont="1">
      <alignment horizontal="left" shrinkToFit="0" vertical="center" wrapText="0"/>
    </xf>
    <xf borderId="10" fillId="4" fontId="19" numFmtId="0" xfId="0" applyAlignment="1" applyBorder="1" applyFont="1">
      <alignment horizontal="left" shrinkToFit="0" vertical="center" wrapText="1"/>
    </xf>
    <xf borderId="1" fillId="2" fontId="19" numFmtId="0" xfId="0" applyAlignment="1" applyBorder="1" applyFont="1">
      <alignment horizontal="left" shrinkToFit="0" vertical="center" wrapText="1"/>
    </xf>
    <xf borderId="10" fillId="4" fontId="21" numFmtId="0" xfId="0" applyAlignment="1" applyBorder="1" applyFont="1">
      <alignment horizontal="left" shrinkToFit="0" vertical="center" wrapText="1"/>
    </xf>
    <xf borderId="1" fillId="4" fontId="20" numFmtId="0" xfId="0" applyAlignment="1" applyBorder="1" applyFont="1">
      <alignment horizontal="left" shrinkToFit="0" vertical="center" wrapText="0"/>
    </xf>
    <xf borderId="0" fillId="0" fontId="7" numFmtId="0" xfId="0" applyAlignment="1" applyFont="1">
      <alignment horizontal="left" shrinkToFit="0" wrapText="1"/>
    </xf>
    <xf borderId="5" fillId="3" fontId="20" numFmtId="0" xfId="0" applyAlignment="1" applyBorder="1" applyFont="1">
      <alignment horizontal="left" shrinkToFit="0" vertical="center" wrapText="0"/>
    </xf>
    <xf borderId="1" fillId="3" fontId="22" numFmtId="0" xfId="0" applyAlignment="1" applyBorder="1" applyFont="1">
      <alignment horizontal="left" shrinkToFit="0" vertical="center" wrapText="0"/>
    </xf>
    <xf borderId="1" fillId="3" fontId="23" numFmtId="0" xfId="0" applyAlignment="1" applyBorder="1" applyFont="1">
      <alignment horizontal="left" shrinkToFit="0" wrapText="0"/>
    </xf>
    <xf borderId="1" fillId="2" fontId="23" numFmtId="0" xfId="0" applyAlignment="1" applyBorder="1" applyFont="1">
      <alignment horizontal="left" shrinkToFit="0" wrapText="0"/>
    </xf>
    <xf borderId="10" fillId="3" fontId="18" numFmtId="0" xfId="0" applyAlignment="1" applyBorder="1" applyFont="1">
      <alignment horizontal="center" shrinkToFit="0" vertical="center" wrapText="1"/>
    </xf>
    <xf borderId="1" fillId="3" fontId="24" numFmtId="0" xfId="0" applyAlignment="1" applyBorder="1" applyFont="1">
      <alignment horizontal="left" shrinkToFit="0" wrapText="0"/>
    </xf>
    <xf borderId="5" fillId="3" fontId="12" numFmtId="0" xfId="0" applyAlignment="1" applyBorder="1" applyFont="1">
      <alignment horizontal="left" shrinkToFit="0" vertical="center" wrapText="0"/>
    </xf>
    <xf borderId="1" fillId="3" fontId="12" numFmtId="0" xfId="0" applyAlignment="1" applyBorder="1" applyFont="1">
      <alignment horizontal="left" shrinkToFit="0" wrapText="0"/>
    </xf>
    <xf borderId="13" fillId="3" fontId="13" numFmtId="0" xfId="0" applyAlignment="1" applyBorder="1" applyFont="1">
      <alignment horizontal="center" shrinkToFit="0" vertical="center" wrapText="0"/>
    </xf>
    <xf borderId="20" fillId="0" fontId="4" numFmtId="0" xfId="0" applyAlignment="1" applyBorder="1" applyFont="1">
      <alignment horizontal="left" shrinkToFit="0" wrapText="1"/>
    </xf>
    <xf borderId="1" fillId="3" fontId="25" numFmtId="0" xfId="0" applyAlignment="1" applyBorder="1" applyFont="1">
      <alignment horizontal="left" shrinkToFit="0" vertical="center" wrapText="0"/>
    </xf>
    <xf borderId="1" fillId="3" fontId="26" numFmtId="0" xfId="0" applyAlignment="1" applyBorder="1" applyFont="1">
      <alignment horizontal="center" shrinkToFit="0" wrapText="0"/>
    </xf>
    <xf borderId="13" fillId="3" fontId="13" numFmtId="0" xfId="0" applyAlignment="1" applyBorder="1" applyFont="1">
      <alignment horizontal="center" shrinkToFit="0" wrapText="0"/>
    </xf>
    <xf borderId="5" fillId="2" fontId="24" numFmtId="0" xfId="0" applyAlignment="1" applyBorder="1" applyFont="1">
      <alignment horizontal="left" shrinkToFit="0" wrapText="0"/>
    </xf>
    <xf borderId="1" fillId="2" fontId="24" numFmtId="0" xfId="0" applyAlignment="1" applyBorder="1" applyFont="1">
      <alignment horizontal="left" shrinkToFit="0" wrapText="0"/>
    </xf>
    <xf borderId="6" fillId="2" fontId="23" numFmtId="0" xfId="0" applyAlignment="1" applyBorder="1" applyFont="1">
      <alignment horizontal="left" shrinkToFit="0" wrapText="0"/>
    </xf>
    <xf borderId="1" fillId="2" fontId="8" numFmtId="0" xfId="0" applyAlignment="1" applyBorder="1" applyFont="1">
      <alignment horizontal="left" shrinkToFit="0" vertical="center" wrapText="1"/>
    </xf>
    <xf borderId="5" fillId="4" fontId="20" numFmtId="0" xfId="0" applyAlignment="1" applyBorder="1" applyFont="1">
      <alignment horizontal="left" shrinkToFit="0" vertical="center" wrapText="0"/>
    </xf>
    <xf borderId="10" fillId="4" fontId="20" numFmtId="0" xfId="0" applyAlignment="1" applyBorder="1" applyFont="1">
      <alignment horizontal="left" readingOrder="1" shrinkToFit="0" vertical="center" wrapText="0"/>
    </xf>
    <xf borderId="1" fillId="3" fontId="27" numFmtId="0" xfId="0" applyAlignment="1" applyBorder="1" applyFont="1">
      <alignment horizontal="left" shrinkToFit="0" vertical="center" wrapText="0"/>
    </xf>
    <xf borderId="10" fillId="4" fontId="27" numFmtId="0" xfId="0" applyAlignment="1" applyBorder="1" applyFont="1">
      <alignment horizontal="left" shrinkToFit="0" vertical="center" wrapText="0"/>
    </xf>
    <xf borderId="1" fillId="4" fontId="27" numFmtId="0" xfId="0" applyAlignment="1" applyBorder="1" applyFont="1">
      <alignment horizontal="left" shrinkToFit="0" vertical="center" wrapText="0"/>
    </xf>
    <xf borderId="0" fillId="0" fontId="8" numFmtId="0" xfId="0" applyAlignment="1" applyFont="1">
      <alignment horizontal="left" shrinkToFit="0" vertical="center" wrapText="1"/>
    </xf>
    <xf borderId="5" fillId="3" fontId="24" numFmtId="0" xfId="0" applyAlignment="1" applyBorder="1" applyFont="1">
      <alignment horizontal="left" shrinkToFit="0" wrapText="0"/>
    </xf>
    <xf borderId="6" fillId="3" fontId="24" numFmtId="0" xfId="0" applyAlignment="1" applyBorder="1" applyFont="1">
      <alignment horizontal="left" shrinkToFit="0" wrapText="0"/>
    </xf>
    <xf borderId="1" fillId="3" fontId="14" numFmtId="0" xfId="0" applyAlignment="1" applyBorder="1" applyFont="1">
      <alignment horizontal="center" shrinkToFit="0" wrapText="0"/>
    </xf>
    <xf borderId="21" fillId="3" fontId="13" numFmtId="0" xfId="0" applyAlignment="1" applyBorder="1" applyFont="1">
      <alignment horizontal="center" shrinkToFit="0" vertical="center" wrapText="0"/>
    </xf>
    <xf borderId="21" fillId="3" fontId="28" numFmtId="0" xfId="0" applyAlignment="1" applyBorder="1" applyFont="1">
      <alignment horizontal="center" shrinkToFit="0" vertical="center" wrapText="0"/>
    </xf>
    <xf borderId="6" fillId="2" fontId="24" numFmtId="0" xfId="0" applyAlignment="1" applyBorder="1" applyFont="1">
      <alignment horizontal="left" shrinkToFit="0" wrapText="0"/>
    </xf>
    <xf borderId="7" fillId="4" fontId="20" numFmtId="0" xfId="0" applyAlignment="1" applyBorder="1" applyFont="1">
      <alignment horizontal="left" shrinkToFit="0" vertical="center" wrapText="0"/>
    </xf>
    <xf borderId="10" fillId="4" fontId="20" numFmtId="0" xfId="0" applyAlignment="1" applyBorder="1" applyFont="1">
      <alignment horizontal="left" shrinkToFit="0" vertical="center" wrapText="0"/>
    </xf>
    <xf borderId="1" fillId="2" fontId="27" numFmtId="0" xfId="0" applyAlignment="1" applyBorder="1" applyFont="1">
      <alignment horizontal="left" shrinkToFit="0" vertical="center" wrapText="0"/>
    </xf>
    <xf borderId="7" fillId="3" fontId="29" numFmtId="0" xfId="0" applyAlignment="1" applyBorder="1" applyFont="1">
      <alignment horizontal="center" shrinkToFit="0" vertical="center" wrapText="0"/>
    </xf>
    <xf borderId="10" fillId="3" fontId="29" numFmtId="0" xfId="0" applyAlignment="1" applyBorder="1" applyFont="1">
      <alignment horizontal="center" shrinkToFit="0" vertical="center" wrapText="0"/>
    </xf>
    <xf borderId="17" fillId="3" fontId="30" numFmtId="0" xfId="0" applyAlignment="1" applyBorder="1" applyFont="1">
      <alignment horizontal="center" shrinkToFit="0" vertical="center" wrapText="0"/>
    </xf>
    <xf borderId="17" fillId="3" fontId="13" numFmtId="0" xfId="0" applyAlignment="1" applyBorder="1" applyFont="1">
      <alignment horizontal="center" shrinkToFit="0" vertical="center" wrapText="0"/>
    </xf>
    <xf borderId="17" fillId="6" fontId="26" numFmtId="0" xfId="0" applyAlignment="1" applyBorder="1" applyFill="1" applyFont="1">
      <alignment horizontal="center" shrinkToFit="0" wrapText="0"/>
    </xf>
    <xf borderId="22" fillId="0" fontId="4" numFmtId="0" xfId="0" applyAlignment="1" applyBorder="1" applyFont="1">
      <alignment horizontal="left" shrinkToFit="0" wrapText="1"/>
    </xf>
    <xf borderId="23" fillId="6" fontId="31" numFmtId="0" xfId="0" applyAlignment="1" applyBorder="1" applyFont="1">
      <alignment horizontal="center" shrinkToFit="0" wrapText="0"/>
    </xf>
    <xf borderId="1" fillId="3" fontId="31" numFmtId="0" xfId="0" applyAlignment="1" applyBorder="1" applyFont="1">
      <alignment horizontal="left" shrinkToFit="0" vertical="center" wrapText="1"/>
    </xf>
    <xf borderId="23" fillId="3" fontId="32" numFmtId="0" xfId="0" applyAlignment="1" applyBorder="1" applyFont="1">
      <alignment horizontal="center" shrinkToFit="0" vertical="center" wrapText="1"/>
    </xf>
    <xf borderId="23" fillId="3" fontId="24" numFmtId="0" xfId="0" applyAlignment="1" applyBorder="1" applyFont="1">
      <alignment horizontal="left" shrinkToFit="0" wrapText="0"/>
    </xf>
    <xf borderId="5" fillId="3" fontId="24" numFmtId="0" xfId="0" applyAlignment="1" applyBorder="1" applyFont="1">
      <alignment horizontal="center" shrinkToFit="0" wrapText="0"/>
    </xf>
    <xf borderId="1" fillId="3" fontId="24" numFmtId="0" xfId="0" applyAlignment="1" applyBorder="1" applyFont="1">
      <alignment horizontal="center" shrinkToFit="0" wrapText="0"/>
    </xf>
    <xf borderId="1" fillId="3" fontId="31" numFmtId="0" xfId="0" applyAlignment="1" applyBorder="1" applyFont="1">
      <alignment horizontal="left" shrinkToFit="0" wrapText="0"/>
    </xf>
    <xf borderId="7" fillId="4" fontId="20" numFmtId="0" xfId="0" applyAlignment="1" applyBorder="1" applyFont="1">
      <alignment horizontal="left" shrinkToFit="0" vertical="center" wrapText="1"/>
    </xf>
    <xf borderId="10" fillId="4" fontId="27" numFmtId="0" xfId="0" applyAlignment="1" applyBorder="1" applyFont="1">
      <alignment horizontal="center" shrinkToFit="0" vertical="center" wrapText="0"/>
    </xf>
    <xf borderId="23" fillId="3" fontId="14" numFmtId="0" xfId="0" applyAlignment="1" applyBorder="1" applyFont="1">
      <alignment horizontal="left" shrinkToFit="0" vertical="center" wrapText="1"/>
    </xf>
    <xf borderId="23" fillId="3" fontId="14" numFmtId="0" xfId="0" applyAlignment="1" applyBorder="1" applyFont="1">
      <alignment horizontal="center" shrinkToFit="0" vertical="center" wrapText="0"/>
    </xf>
    <xf borderId="7" fillId="3" fontId="33" numFmtId="0" xfId="0" applyAlignment="1" applyBorder="1" applyFont="1">
      <alignment horizontal="center" shrinkToFit="0" vertical="center" wrapText="0"/>
    </xf>
    <xf borderId="13" fillId="3" fontId="34" numFmtId="0" xfId="0" applyAlignment="1" applyBorder="1" applyFont="1">
      <alignment horizontal="center" shrinkToFit="0" vertical="center" wrapText="0"/>
    </xf>
    <xf borderId="24" fillId="3" fontId="13" numFmtId="0" xfId="0" applyAlignment="1" applyBorder="1" applyFont="1">
      <alignment horizontal="center" shrinkToFit="0" vertical="center" wrapText="0"/>
    </xf>
    <xf borderId="25" fillId="0" fontId="4" numFmtId="0" xfId="0" applyAlignment="1" applyBorder="1" applyFont="1">
      <alignment horizontal="left" shrinkToFit="0" wrapText="1"/>
    </xf>
    <xf borderId="26" fillId="0" fontId="4" numFmtId="0" xfId="0" applyAlignment="1" applyBorder="1" applyFont="1">
      <alignment horizontal="left" shrinkToFit="0" wrapText="1"/>
    </xf>
    <xf borderId="24" fillId="3" fontId="28" numFmtId="0" xfId="0" applyAlignment="1" applyBorder="1" applyFont="1">
      <alignment horizontal="center" shrinkToFit="0" vertical="center" wrapText="0"/>
    </xf>
    <xf borderId="1" fillId="3" fontId="35" numFmtId="0" xfId="0" applyAlignment="1" applyBorder="1" applyFont="1">
      <alignment horizontal="left" shrinkToFit="0" vertical="center" wrapText="1"/>
    </xf>
    <xf borderId="23" fillId="3" fontId="13" numFmtId="0" xfId="0" applyAlignment="1" applyBorder="1" applyFont="1">
      <alignment horizontal="center" shrinkToFit="0" vertical="center" wrapText="1"/>
    </xf>
    <xf borderId="23" fillId="3" fontId="13" numFmtId="9" xfId="0" applyAlignment="1" applyBorder="1" applyFont="1" applyNumberFormat="1">
      <alignment horizontal="center" shrinkToFit="0" vertical="center" wrapText="0"/>
    </xf>
    <xf borderId="27" fillId="0" fontId="4" numFmtId="0" xfId="0" applyAlignment="1" applyBorder="1" applyFont="1">
      <alignment horizontal="left" shrinkToFit="0" wrapText="1"/>
    </xf>
    <xf borderId="28" fillId="0" fontId="4" numFmtId="0" xfId="0" applyAlignment="1" applyBorder="1" applyFont="1">
      <alignment horizontal="left" shrinkToFit="0" wrapText="1"/>
    </xf>
    <xf borderId="29" fillId="0" fontId="4" numFmtId="0" xfId="0" applyAlignment="1" applyBorder="1" applyFont="1">
      <alignment horizontal="left" shrinkToFit="0" wrapText="1"/>
    </xf>
    <xf borderId="1" fillId="2" fontId="1" numFmtId="0" xfId="0" applyAlignment="1" applyBorder="1" applyFont="1">
      <alignment horizontal="left" shrinkToFit="0" wrapText="1"/>
    </xf>
    <xf borderId="1" fillId="3" fontId="1" numFmtId="0" xfId="0" applyAlignment="1" applyBorder="1" applyFont="1">
      <alignment horizontal="left" shrinkToFit="0" wrapText="1"/>
    </xf>
    <xf borderId="1" fillId="3" fontId="1" numFmtId="14" xfId="0" applyAlignment="1" applyBorder="1" applyFont="1" applyNumberFormat="1">
      <alignment horizontal="left" shrinkToFit="0" wrapText="1"/>
    </xf>
    <xf borderId="1" fillId="2" fontId="1" numFmtId="14" xfId="0" applyAlignment="1" applyBorder="1" applyFont="1" applyNumberFormat="1">
      <alignment horizontal="left" shrinkToFit="0" wrapText="1"/>
    </xf>
    <xf borderId="1" fillId="3" fontId="35" numFmtId="14" xfId="0" applyAlignment="1" applyBorder="1" applyFont="1" applyNumberFormat="1">
      <alignment horizontal="center" shrinkToFit="0" vertical="center" wrapText="1"/>
    </xf>
    <xf borderId="5" fillId="2" fontId="16" numFmtId="0" xfId="0" applyAlignment="1" applyBorder="1" applyFont="1">
      <alignment horizontal="left" shrinkToFit="0" wrapText="0"/>
    </xf>
    <xf borderId="1" fillId="2" fontId="16" numFmtId="0" xfId="0" applyAlignment="1" applyBorder="1" applyFont="1">
      <alignment horizontal="left" shrinkToFit="0" wrapText="0"/>
    </xf>
    <xf borderId="6" fillId="2" fontId="36" numFmtId="0" xfId="0" applyAlignment="1" applyBorder="1" applyFont="1">
      <alignment horizontal="left" shrinkToFit="0" wrapText="0"/>
    </xf>
    <xf borderId="1" fillId="2" fontId="36" numFmtId="0" xfId="0" applyAlignment="1" applyBorder="1" applyFont="1">
      <alignment horizontal="left" shrinkToFit="0" wrapText="0"/>
    </xf>
    <xf borderId="10" fillId="4" fontId="20" numFmtId="0" xfId="0" applyAlignment="1" applyBorder="1" applyFont="1">
      <alignment horizontal="left" shrinkToFit="0" vertical="center" wrapText="1"/>
    </xf>
    <xf borderId="1" fillId="2" fontId="24" numFmtId="0" xfId="0" applyAlignment="1" applyBorder="1" applyFont="1">
      <alignment horizontal="left" shrinkToFit="0" vertical="center" wrapText="0"/>
    </xf>
    <xf borderId="10" fillId="4" fontId="37" numFmtId="0" xfId="0" applyAlignment="1" applyBorder="1" applyFont="1">
      <alignment horizontal="left" shrinkToFit="0" vertical="center" wrapText="1"/>
    </xf>
    <xf borderId="1" fillId="4" fontId="37" numFmtId="0" xfId="0" applyAlignment="1" applyBorder="1" applyFont="1">
      <alignment horizontal="left" shrinkToFit="0" vertical="center" wrapText="1"/>
    </xf>
    <xf borderId="5" fillId="2" fontId="38" numFmtId="0" xfId="0" applyAlignment="1" applyBorder="1" applyFont="1">
      <alignment horizontal="left" shrinkToFit="0" wrapText="0"/>
    </xf>
    <xf borderId="1" fillId="2" fontId="38" numFmtId="0" xfId="0" applyAlignment="1" applyBorder="1" applyFont="1">
      <alignment horizontal="left" shrinkToFit="0" wrapText="0"/>
    </xf>
    <xf borderId="17" fillId="6" fontId="25" numFmtId="0" xfId="0" applyAlignment="1" applyBorder="1" applyFont="1">
      <alignment horizontal="center" shrinkToFit="0" vertical="center" wrapText="0"/>
    </xf>
    <xf borderId="23" fillId="6" fontId="25" numFmtId="0" xfId="0" applyAlignment="1" applyBorder="1" applyFont="1">
      <alignment horizontal="center" shrinkToFit="0" vertical="center" wrapText="0"/>
    </xf>
    <xf borderId="17" fillId="6" fontId="35" numFmtId="0" xfId="0" applyAlignment="1" applyBorder="1" applyFont="1">
      <alignment horizontal="center" shrinkToFit="0" vertical="center" wrapText="0"/>
    </xf>
    <xf borderId="1" fillId="3" fontId="35" numFmtId="0" xfId="0" applyAlignment="1" applyBorder="1" applyFont="1">
      <alignment horizontal="center" shrinkToFit="0" vertical="center" wrapText="0"/>
    </xf>
    <xf borderId="5" fillId="3" fontId="1" numFmtId="0" xfId="0" applyAlignment="1" applyBorder="1" applyFont="1">
      <alignment horizontal="left" shrinkToFit="0" wrapText="1"/>
    </xf>
    <xf borderId="17" fillId="3" fontId="26" numFmtId="0" xfId="0" applyAlignment="1" applyBorder="1" applyFont="1">
      <alignment horizontal="left" shrinkToFit="0" vertical="center" wrapText="0"/>
    </xf>
    <xf borderId="17" fillId="3" fontId="13" numFmtId="0" xfId="0" applyAlignment="1" applyBorder="1" applyFont="1">
      <alignment horizontal="center" shrinkToFit="0" wrapText="0"/>
    </xf>
    <xf borderId="23" fillId="3" fontId="14" numFmtId="0" xfId="0" applyAlignment="1" applyBorder="1" applyFont="1">
      <alignment horizontal="left" shrinkToFit="0" wrapText="0"/>
    </xf>
    <xf borderId="23" fillId="3" fontId="25" numFmtId="0" xfId="0" applyAlignment="1" applyBorder="1" applyFont="1">
      <alignment horizontal="center" shrinkToFit="0" vertical="center" wrapText="0"/>
    </xf>
    <xf borderId="1" fillId="3" fontId="25" numFmtId="0" xfId="0" applyAlignment="1" applyBorder="1" applyFont="1">
      <alignment horizontal="center" shrinkToFit="0" vertical="center" wrapText="0"/>
    </xf>
    <xf borderId="1" fillId="3" fontId="16" numFmtId="0" xfId="0" applyAlignment="1" applyBorder="1" applyFont="1">
      <alignment horizontal="left" shrinkToFit="0" vertical="center" wrapText="1"/>
    </xf>
    <xf borderId="23" fillId="3" fontId="39" numFmtId="4" xfId="0" applyAlignment="1" applyBorder="1" applyFont="1" applyNumberFormat="1">
      <alignment horizontal="center" shrinkToFit="0" wrapText="0"/>
    </xf>
    <xf borderId="1" fillId="2" fontId="1" numFmtId="0" xfId="0" applyAlignment="1" applyBorder="1" applyFont="1">
      <alignment horizontal="left" shrinkToFit="0" wrapText="0"/>
    </xf>
    <xf borderId="6" fillId="3" fontId="1" numFmtId="14" xfId="0" applyAlignment="1" applyBorder="1" applyFont="1" applyNumberFormat="1">
      <alignment horizontal="left" shrinkToFit="0" wrapText="1"/>
    </xf>
    <xf borderId="1" fillId="2" fontId="1" numFmtId="14" xfId="0" applyAlignment="1" applyBorder="1" applyFont="1" applyNumberFormat="1">
      <alignment horizontal="left" shrinkToFit="0" wrapText="1"/>
    </xf>
    <xf borderId="1" fillId="3" fontId="1" numFmtId="14" xfId="0" applyAlignment="1" applyBorder="1" applyFont="1" applyNumberFormat="1">
      <alignment horizontal="left" shrinkToFit="0" wrapText="1"/>
    </xf>
    <xf borderId="23" fillId="6" fontId="26" numFmtId="0" xfId="0" applyAlignment="1" applyBorder="1" applyFont="1">
      <alignment horizontal="center" shrinkToFit="0" wrapText="0"/>
    </xf>
    <xf borderId="1" fillId="2" fontId="16" numFmtId="0" xfId="0" applyAlignment="1" applyBorder="1" applyFont="1">
      <alignment horizontal="left" shrinkToFit="0" wrapText="0"/>
    </xf>
    <xf borderId="23" fillId="3" fontId="31" numFmtId="0" xfId="0" applyAlignment="1" applyBorder="1" applyFont="1">
      <alignment horizontal="left" shrinkToFit="0" vertical="center" wrapText="0"/>
    </xf>
    <xf borderId="23" fillId="3" fontId="40" numFmtId="0" xfId="0" applyAlignment="1" applyBorder="1" applyFont="1">
      <alignment horizontal="left" shrinkToFit="0" vertical="center" wrapText="0"/>
    </xf>
    <xf borderId="23" fillId="3" fontId="15" numFmtId="0" xfId="0" applyAlignment="1" applyBorder="1" applyFont="1">
      <alignment horizontal="center" shrinkToFit="0" vertical="center" wrapText="0"/>
    </xf>
    <xf borderId="1" fillId="3" fontId="16" numFmtId="0" xfId="0" applyAlignment="1" applyBorder="1" applyFont="1">
      <alignment horizontal="left" shrinkToFit="0" wrapText="0"/>
    </xf>
    <xf borderId="6" fillId="3" fontId="1" numFmtId="0" xfId="0" applyAlignment="1" applyBorder="1" applyFont="1">
      <alignment horizontal="left" shrinkToFit="0" wrapText="1"/>
    </xf>
    <xf borderId="30" fillId="3" fontId="1" numFmtId="0" xfId="0" applyAlignment="1" applyBorder="1" applyFont="1">
      <alignment horizontal="left" shrinkToFit="0" wrapText="1"/>
    </xf>
    <xf borderId="31" fillId="3" fontId="1" numFmtId="0" xfId="0" applyAlignment="1" applyBorder="1" applyFont="1">
      <alignment horizontal="left" shrinkToFit="0" wrapText="1"/>
    </xf>
    <xf borderId="31" fillId="2" fontId="1" numFmtId="0" xfId="0" applyAlignment="1" applyBorder="1" applyFont="1">
      <alignment horizontal="left" shrinkToFit="0" wrapText="1"/>
    </xf>
    <xf borderId="32" fillId="3" fontId="1" numFmtId="0" xfId="0" applyAlignment="1" applyBorder="1" applyFont="1">
      <alignment horizontal="left" shrinkToFit="0" wrapText="1"/>
    </xf>
    <xf borderId="7" fillId="2" fontId="1" numFmtId="0" xfId="0" applyAlignment="1" applyBorder="1" applyFont="1">
      <alignment horizontal="center" shrinkToFit="0" wrapText="1"/>
    </xf>
    <xf borderId="33" fillId="4" fontId="19" numFmtId="0" xfId="0" applyAlignment="1" applyBorder="1" applyFont="1">
      <alignment horizontal="left" shrinkToFit="0" vertical="center" wrapText="0"/>
    </xf>
    <xf borderId="34" fillId="0" fontId="4" numFmtId="0" xfId="0" applyAlignment="1" applyBorder="1" applyFont="1">
      <alignment horizontal="left" shrinkToFit="0" wrapText="1"/>
    </xf>
    <xf borderId="35" fillId="0" fontId="4" numFmtId="0" xfId="0" applyAlignment="1" applyBorder="1" applyFont="1">
      <alignment horizontal="left" shrinkToFit="0" wrapText="1"/>
    </xf>
    <xf borderId="5" fillId="2" fontId="19" numFmtId="0" xfId="0" applyAlignment="1" applyBorder="1" applyFont="1">
      <alignment horizontal="left" shrinkToFit="0" wrapText="0"/>
    </xf>
    <xf borderId="1" fillId="2" fontId="19" numFmtId="0" xfId="0" applyAlignment="1" applyBorder="1" applyFont="1">
      <alignment horizontal="left" shrinkToFit="0" wrapText="0"/>
    </xf>
    <xf borderId="36" fillId="0" fontId="13" numFmtId="0" xfId="0" applyAlignment="1" applyBorder="1" applyFont="1">
      <alignment horizontal="left" shrinkToFit="0" wrapText="1"/>
    </xf>
    <xf borderId="37" fillId="0" fontId="4" numFmtId="0" xfId="0" applyAlignment="1" applyBorder="1" applyFont="1">
      <alignment horizontal="left" shrinkToFit="0" wrapText="1"/>
    </xf>
    <xf borderId="36" fillId="0" fontId="4" numFmtId="0" xfId="0" applyAlignment="1" applyBorder="1" applyFont="1">
      <alignment horizontal="left" shrinkToFit="0" wrapText="1"/>
    </xf>
    <xf borderId="5" fillId="4" fontId="19" numFmtId="0" xfId="0" applyAlignment="1" applyBorder="1" applyFont="1">
      <alignment horizontal="left" shrinkToFit="0" vertical="center" wrapText="0"/>
    </xf>
    <xf borderId="1" fillId="4" fontId="19" numFmtId="0" xfId="0" applyAlignment="1" applyBorder="1" applyFont="1">
      <alignment horizontal="left" shrinkToFit="0" wrapText="0"/>
    </xf>
    <xf borderId="1" fillId="4" fontId="1" numFmtId="0" xfId="0" applyAlignment="1" applyBorder="1" applyFont="1">
      <alignment horizontal="left" shrinkToFit="0" wrapText="1"/>
    </xf>
    <xf borderId="33" fillId="3" fontId="28" numFmtId="0" xfId="0" applyAlignment="1" applyBorder="1" applyFont="1">
      <alignment horizontal="left" shrinkToFit="0" vertical="center" wrapText="1"/>
    </xf>
    <xf borderId="38" fillId="0" fontId="4" numFmtId="0" xfId="0" applyAlignment="1" applyBorder="1" applyFont="1">
      <alignment horizontal="left" shrinkToFit="0" wrapText="1"/>
    </xf>
    <xf borderId="7" fillId="3" fontId="28" numFmtId="0" xfId="0" applyAlignment="1" applyBorder="1" applyFont="1">
      <alignment horizontal="left" shrinkToFit="0" vertical="center" wrapText="1"/>
    </xf>
    <xf borderId="16" fillId="3" fontId="28" numFmtId="0" xfId="0" applyAlignment="1" applyBorder="1" applyFont="1">
      <alignment horizontal="left" shrinkToFit="0" vertical="center" wrapText="1"/>
    </xf>
    <xf borderId="5" fillId="4" fontId="27" numFmtId="0" xfId="0" applyAlignment="1" applyBorder="1" applyFont="1">
      <alignment horizontal="left" shrinkToFit="0" vertical="center" wrapText="0"/>
    </xf>
    <xf borderId="5" fillId="2" fontId="41" numFmtId="0" xfId="0" applyAlignment="1" applyBorder="1" applyFont="1">
      <alignment horizontal="left" shrinkToFit="0" wrapText="1"/>
    </xf>
    <xf borderId="1" fillId="2" fontId="41" numFmtId="0" xfId="0" applyAlignment="1" applyBorder="1" applyFont="1">
      <alignment horizontal="left" shrinkToFit="0" wrapText="1"/>
    </xf>
    <xf borderId="30" fillId="2" fontId="28" numFmtId="0" xfId="0" applyAlignment="1" applyBorder="1" applyFont="1">
      <alignment horizontal="left" shrinkToFit="0" wrapText="1"/>
    </xf>
    <xf borderId="31" fillId="2" fontId="28" numFmtId="0" xfId="0" applyAlignment="1" applyBorder="1" applyFont="1">
      <alignment horizontal="left" shrinkToFit="0" wrapText="1"/>
    </xf>
    <xf borderId="31" fillId="2" fontId="40" numFmtId="0" xfId="0" applyAlignment="1" applyBorder="1" applyFont="1">
      <alignment horizontal="left" shrinkToFit="0" wrapText="1"/>
    </xf>
    <xf borderId="7" fillId="2" fontId="42" numFmtId="0" xfId="0" applyAlignment="1" applyBorder="1" applyFont="1">
      <alignment horizontal="center" shrinkToFit="0" wrapText="1"/>
    </xf>
    <xf borderId="10" fillId="2" fontId="42" numFmtId="0" xfId="0" applyAlignment="1" applyBorder="1" applyFont="1">
      <alignment horizontal="center" shrinkToFit="0" wrapText="0"/>
    </xf>
    <xf borderId="30" fillId="2" fontId="1" numFmtId="0" xfId="0" applyAlignment="1" applyBorder="1" applyFont="1">
      <alignment horizontal="left" shrinkToFit="0" wrapText="1"/>
    </xf>
    <xf borderId="32" fillId="2" fontId="1" numFmtId="0" xfId="0" applyAlignment="1" applyBorder="1" applyFont="1">
      <alignment horizontal="left" shrinkToFit="0" wrapText="1"/>
    </xf>
    <xf borderId="0" fillId="0" fontId="2" numFmtId="0" xfId="0" applyAlignment="1" applyFont="1">
      <alignment horizontal="left" shrinkToFit="0" wrapText="0"/>
    </xf>
    <xf borderId="0" fillId="0" fontId="4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76200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38100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57150</xdr:colOff>
      <xdr:row>13</xdr:row>
      <xdr:rowOff>304800</xdr:rowOff>
    </xdr:from>
    <xdr:ext cx="438150" cy="38100"/>
    <xdr:sp>
      <xdr:nvSpPr>
        <xdr:cNvPr id="4" name="Shape 4"/>
        <xdr:cNvSpPr/>
      </xdr:nvSpPr>
      <xdr:spPr>
        <a:xfrm flipH="1" rot="10800000">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76200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15</xdr:row>
      <xdr:rowOff>142875</xdr:rowOff>
    </xdr:from>
    <xdr:ext cx="447675" cy="314325"/>
    <xdr:sp>
      <xdr:nvSpPr>
        <xdr:cNvPr id="5" name="Shape 5"/>
        <xdr:cNvSpPr/>
      </xdr:nvSpPr>
      <xdr:spPr>
        <a:xfrm>
          <a:off x="5126925" y="3627600"/>
          <a:ext cx="438150" cy="30480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66675</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17</xdr:row>
      <xdr:rowOff>171450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57150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19</xdr:row>
      <xdr:rowOff>161925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66675</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76200</xdr:colOff>
      <xdr:row>17</xdr:row>
      <xdr:rowOff>171450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17</xdr:row>
      <xdr:rowOff>161925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19</xdr:row>
      <xdr:rowOff>161925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66675</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76200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13</xdr:row>
      <xdr:rowOff>304800</xdr:rowOff>
    </xdr:from>
    <xdr:ext cx="438150" cy="38100"/>
    <xdr:sp>
      <xdr:nvSpPr>
        <xdr:cNvPr id="4" name="Shape 4"/>
        <xdr:cNvSpPr/>
      </xdr:nvSpPr>
      <xdr:spPr>
        <a:xfrm flipH="1" rot="10800000">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13</xdr:row>
      <xdr:rowOff>304800</xdr:rowOff>
    </xdr:from>
    <xdr:ext cx="438150" cy="38100"/>
    <xdr:sp>
      <xdr:nvSpPr>
        <xdr:cNvPr id="4" name="Shape 4"/>
        <xdr:cNvSpPr/>
      </xdr:nvSpPr>
      <xdr:spPr>
        <a:xfrm flipH="1" rot="10800000">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14</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15</xdr:row>
      <xdr:rowOff>371475</xdr:rowOff>
    </xdr:from>
    <xdr:ext cx="447675" cy="114300"/>
    <xdr:sp>
      <xdr:nvSpPr>
        <xdr:cNvPr id="6" name="Shape 6"/>
        <xdr:cNvSpPr/>
      </xdr:nvSpPr>
      <xdr:spPr>
        <a:xfrm>
          <a:off x="5126925" y="3727613"/>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15</xdr:row>
      <xdr:rowOff>371475</xdr:rowOff>
    </xdr:from>
    <xdr:ext cx="447675" cy="114300"/>
    <xdr:sp>
      <xdr:nvSpPr>
        <xdr:cNvPr id="6" name="Shape 6"/>
        <xdr:cNvSpPr/>
      </xdr:nvSpPr>
      <xdr:spPr>
        <a:xfrm>
          <a:off x="5126925" y="3727613"/>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76200</xdr:colOff>
      <xdr:row>16</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17</xdr:row>
      <xdr:rowOff>304800</xdr:rowOff>
    </xdr:from>
    <xdr:ext cx="438150" cy="38100"/>
    <xdr:sp>
      <xdr:nvSpPr>
        <xdr:cNvPr id="7" name="Shape 7"/>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17</xdr:row>
      <xdr:rowOff>304800</xdr:rowOff>
    </xdr:from>
    <xdr:ext cx="438150" cy="38100"/>
    <xdr:sp>
      <xdr:nvSpPr>
        <xdr:cNvPr id="7" name="Shape 7"/>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76200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19</xdr:row>
      <xdr:rowOff>304800</xdr:rowOff>
    </xdr:from>
    <xdr:ext cx="438150" cy="38100"/>
    <xdr:sp>
      <xdr:nvSpPr>
        <xdr:cNvPr id="7" name="Shape 7"/>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19</xdr:row>
      <xdr:rowOff>304800</xdr:rowOff>
    </xdr:from>
    <xdr:ext cx="438150" cy="38100"/>
    <xdr:sp>
      <xdr:nvSpPr>
        <xdr:cNvPr id="7" name="Shape 7"/>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21</xdr:col>
      <xdr:colOff>28575</xdr:colOff>
      <xdr:row>32</xdr:row>
      <xdr:rowOff>190500</xdr:rowOff>
    </xdr:from>
    <xdr:ext cx="533400" cy="1009650"/>
    <xdr:sp>
      <xdr:nvSpPr>
        <xdr:cNvPr id="8" name="Shape 8"/>
        <xdr:cNvSpPr txBox="1"/>
      </xdr:nvSpPr>
      <xdr:spPr>
        <a:xfrm>
          <a:off x="5084063" y="3279938"/>
          <a:ext cx="523875" cy="1000125"/>
        </a:xfrm>
        <a:prstGeom prst="rect">
          <a:avLst/>
        </a:prstGeom>
        <a:solidFill>
          <a:srgbClr val="90FF23"/>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Arial"/>
              <a:ea typeface="Arial"/>
              <a:cs typeface="Arial"/>
              <a:sym typeface="Arial"/>
            </a:rPr>
            <a:t>Enter</a:t>
          </a:r>
          <a:endParaRPr sz="1400"/>
        </a:p>
        <a:p>
          <a:pPr indent="0" lvl="0" marL="0" rtl="0" algn="l">
            <a:spcBef>
              <a:spcPts val="0"/>
            </a:spcBef>
            <a:spcAft>
              <a:spcPts val="0"/>
            </a:spcAft>
            <a:buNone/>
          </a:pPr>
          <a:r>
            <a:rPr lang="en-US" sz="900">
              <a:solidFill>
                <a:schemeClr val="dk1"/>
              </a:solidFill>
              <a:latin typeface="Arial"/>
              <a:ea typeface="Arial"/>
              <a:cs typeface="Arial"/>
              <a:sym typeface="Arial"/>
            </a:rPr>
            <a:t>up to </a:t>
          </a:r>
          <a:r>
            <a:rPr lang="en-US" sz="900" u="sng">
              <a:solidFill>
                <a:schemeClr val="dk1"/>
              </a:solidFill>
              <a:latin typeface="Arial"/>
              <a:ea typeface="Arial"/>
              <a:cs typeface="Arial"/>
              <a:sym typeface="Arial"/>
            </a:rPr>
            <a:t>three</a:t>
          </a:r>
          <a:r>
            <a:rPr lang="en-US" sz="900">
              <a:solidFill>
                <a:schemeClr val="dk1"/>
              </a:solidFill>
              <a:latin typeface="Arial"/>
              <a:ea typeface="Arial"/>
              <a:cs typeface="Arial"/>
              <a:sym typeface="Arial"/>
            </a:rPr>
            <a:t> </a:t>
          </a:r>
          <a:endParaRPr sz="1400"/>
        </a:p>
        <a:p>
          <a:pPr indent="0" lvl="0" marL="0" rtl="0" algn="l">
            <a:spcBef>
              <a:spcPts val="0"/>
            </a:spcBef>
            <a:spcAft>
              <a:spcPts val="0"/>
            </a:spcAft>
            <a:buNone/>
          </a:pPr>
          <a:r>
            <a:rPr lang="en-US" sz="900">
              <a:solidFill>
                <a:schemeClr val="dk1"/>
              </a:solidFill>
              <a:latin typeface="Arial"/>
              <a:ea typeface="Arial"/>
              <a:cs typeface="Arial"/>
              <a:sym typeface="Arial"/>
            </a:rPr>
            <a:t>factors</a:t>
          </a:r>
          <a:endParaRPr sz="1400"/>
        </a:p>
      </xdr:txBody>
    </xdr:sp>
    <xdr:clientData fLocksWithSheet="0"/>
  </xdr:oneCellAnchor>
  <xdr:oneCellAnchor>
    <xdr:from>
      <xdr:col>19</xdr:col>
      <xdr:colOff>57150</xdr:colOff>
      <xdr:row>43</xdr:row>
      <xdr:rowOff>304800</xdr:rowOff>
    </xdr:from>
    <xdr:ext cx="1514475" cy="323850"/>
    <xdr:sp>
      <xdr:nvSpPr>
        <xdr:cNvPr id="9" name="Shape 9"/>
        <xdr:cNvSpPr txBox="1"/>
      </xdr:nvSpPr>
      <xdr:spPr>
        <a:xfrm>
          <a:off x="4593525" y="3622838"/>
          <a:ext cx="1504950" cy="314325"/>
        </a:xfrm>
        <a:prstGeom prst="rect">
          <a:avLst/>
        </a:prstGeom>
        <a:no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200">
            <a:solidFill>
              <a:srgbClr val="000000"/>
            </a:solidFill>
            <a:latin typeface="Arial"/>
            <a:ea typeface="Arial"/>
            <a:cs typeface="Arial"/>
            <a:sym typeface="Arial"/>
          </a:endParaRPr>
        </a:p>
      </xdr:txBody>
    </xdr:sp>
    <xdr:clientData fLocksWithSheet="0"/>
  </xdr:oneCellAnchor>
  <xdr:oneCellAnchor>
    <xdr:from>
      <xdr:col>1</xdr:col>
      <xdr:colOff>0</xdr:colOff>
      <xdr:row>48</xdr:row>
      <xdr:rowOff>9525</xdr:rowOff>
    </xdr:from>
    <xdr:ext cx="2676525" cy="371475"/>
    <xdr:sp>
      <xdr:nvSpPr>
        <xdr:cNvPr id="10" name="Shape 10"/>
        <xdr:cNvSpPr txBox="1"/>
      </xdr:nvSpPr>
      <xdr:spPr>
        <a:xfrm>
          <a:off x="4012500" y="3599025"/>
          <a:ext cx="2667000" cy="361950"/>
        </a:xfrm>
        <a:prstGeom prst="rect">
          <a:avLst/>
        </a:prstGeom>
        <a:solidFill>
          <a:srgbClr val="90FF23"/>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900">
              <a:solidFill>
                <a:schemeClr val="dk1"/>
              </a:solidFill>
              <a:latin typeface="Arial"/>
              <a:ea typeface="Arial"/>
              <a:cs typeface="Arial"/>
              <a:sym typeface="Arial"/>
            </a:rPr>
            <a:t>These optional descriptors refer to observations made at the point of initial attack</a:t>
          </a:r>
          <a:endParaRPr sz="1400"/>
        </a:p>
      </xdr:txBody>
    </xdr:sp>
    <xdr:clientData fLocksWithSheet="0"/>
  </xdr:oneCellAnchor>
  <xdr:oneCellAnchor>
    <xdr:from>
      <xdr:col>3</xdr:col>
      <xdr:colOff>66675</xdr:colOff>
      <xdr:row>17</xdr:row>
      <xdr:rowOff>142875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17</xdr:row>
      <xdr:rowOff>304800</xdr:rowOff>
    </xdr:from>
    <xdr:ext cx="438150" cy="38100"/>
    <xdr:sp>
      <xdr:nvSpPr>
        <xdr:cNvPr id="11" name="Shape 11"/>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17</xdr:row>
      <xdr:rowOff>304800</xdr:rowOff>
    </xdr:from>
    <xdr:ext cx="438150" cy="38100"/>
    <xdr:sp>
      <xdr:nvSpPr>
        <xdr:cNvPr id="11" name="Shape 11"/>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19</xdr:row>
      <xdr:rowOff>142875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14</xdr:col>
      <xdr:colOff>57150</xdr:colOff>
      <xdr:row>19</xdr:row>
      <xdr:rowOff>304800</xdr:rowOff>
    </xdr:from>
    <xdr:ext cx="438150" cy="38100"/>
    <xdr:sp>
      <xdr:nvSpPr>
        <xdr:cNvPr id="11" name="Shape 11"/>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16</xdr:col>
      <xdr:colOff>57150</xdr:colOff>
      <xdr:row>19</xdr:row>
      <xdr:rowOff>304800</xdr:rowOff>
    </xdr:from>
    <xdr:ext cx="438150" cy="38100"/>
    <xdr:sp>
      <xdr:nvSpPr>
        <xdr:cNvPr id="11" name="Shape 11"/>
        <xdr:cNvSpPr/>
      </xdr:nvSpPr>
      <xdr:spPr>
        <a:xfrm flipH="1" rot="10800000">
          <a:off x="5126925" y="3727612"/>
          <a:ext cx="438150" cy="104775"/>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17</xdr:row>
      <xdr:rowOff>142875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66675</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18</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19</xdr:row>
      <xdr:rowOff>171450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57150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19</xdr:row>
      <xdr:rowOff>142875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3</xdr:col>
      <xdr:colOff>66675</xdr:colOff>
      <xdr:row>19</xdr:row>
      <xdr:rowOff>142875</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66675</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6</xdr:col>
      <xdr:colOff>76200</xdr:colOff>
      <xdr:row>20</xdr:row>
      <xdr:rowOff>0</xdr:rowOff>
    </xdr:from>
    <xdr:ext cx="447675" cy="104775"/>
    <xdr:sp>
      <xdr:nvSpPr>
        <xdr:cNvPr id="3" name="Shape 3"/>
        <xdr:cNvSpPr/>
      </xdr:nvSpPr>
      <xdr:spPr>
        <a:xfrm>
          <a:off x="5126925" y="3732375"/>
          <a:ext cx="438150" cy="95250"/>
        </a:xfrm>
        <a:prstGeom prst="rect">
          <a:avLst/>
        </a:prstGeom>
        <a:solidFill>
          <a:srgbClr val="F2F2F2"/>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t/>
          </a:r>
          <a:endParaRPr b="1" sz="1000"/>
        </a:p>
      </xdr:txBody>
    </xdr:sp>
    <xdr:clientData fLocksWithSheet="0"/>
  </xdr:oneCellAnchor>
  <xdr:oneCellAnchor>
    <xdr:from>
      <xdr:col>23</xdr:col>
      <xdr:colOff>47625</xdr:colOff>
      <xdr:row>38</xdr:row>
      <xdr:rowOff>57150</xdr:rowOff>
    </xdr:from>
    <xdr:ext cx="581025" cy="476250"/>
    <xdr:sp>
      <xdr:nvSpPr>
        <xdr:cNvPr id="12" name="Shape 12"/>
        <xdr:cNvSpPr txBox="1"/>
      </xdr:nvSpPr>
      <xdr:spPr>
        <a:xfrm>
          <a:off x="5060250" y="3546638"/>
          <a:ext cx="571500" cy="46672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800">
              <a:solidFill>
                <a:srgbClr val="244800"/>
              </a:solidFill>
              <a:latin typeface="Arial Black"/>
              <a:ea typeface="Arial Black"/>
              <a:cs typeface="Arial Black"/>
              <a:sym typeface="Arial Black"/>
            </a:rPr>
            <a:t>Air Temp</a:t>
          </a:r>
          <a:r>
            <a:rPr b="1" lang="en-US" sz="800">
              <a:solidFill>
                <a:srgbClr val="244800"/>
              </a:solidFill>
              <a:latin typeface="Arial Black"/>
              <a:ea typeface="Arial Black"/>
              <a:cs typeface="Arial Black"/>
              <a:sym typeface="Arial Black"/>
            </a:rPr>
            <a:t> </a:t>
          </a:r>
          <a:endParaRPr b="1" sz="800">
            <a:solidFill>
              <a:srgbClr val="244800"/>
            </a:solidFill>
            <a:latin typeface="Arial Black"/>
            <a:ea typeface="Arial Black"/>
            <a:cs typeface="Arial Black"/>
            <a:sym typeface="Arial Black"/>
          </a:endParaRPr>
        </a:p>
      </xdr:txBody>
    </xdr:sp>
    <xdr:clientData fLocksWithSheet="0"/>
  </xdr:oneCellAnchor>
  <xdr:oneCellAnchor>
    <xdr:from>
      <xdr:col>23</xdr:col>
      <xdr:colOff>57150</xdr:colOff>
      <xdr:row>40</xdr:row>
      <xdr:rowOff>114300</xdr:rowOff>
    </xdr:from>
    <xdr:ext cx="581025" cy="361950"/>
    <xdr:sp>
      <xdr:nvSpPr>
        <xdr:cNvPr id="13" name="Shape 13"/>
        <xdr:cNvSpPr txBox="1"/>
      </xdr:nvSpPr>
      <xdr:spPr>
        <a:xfrm>
          <a:off x="5060250" y="3603788"/>
          <a:ext cx="571500" cy="35242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700">
              <a:solidFill>
                <a:srgbClr val="244800"/>
              </a:solidFill>
              <a:latin typeface="Arial Black"/>
              <a:ea typeface="Arial Black"/>
              <a:cs typeface="Arial Black"/>
              <a:sym typeface="Arial Black"/>
            </a:rPr>
            <a:t>Fire Danger</a:t>
          </a:r>
          <a:r>
            <a:rPr b="1" lang="en-US" sz="700">
              <a:solidFill>
                <a:srgbClr val="244800"/>
              </a:solidFill>
              <a:latin typeface="Arial Black"/>
              <a:ea typeface="Arial Black"/>
              <a:cs typeface="Arial Black"/>
              <a:sym typeface="Arial Black"/>
            </a:rPr>
            <a:t> Rating</a:t>
          </a:r>
          <a:endParaRPr b="1" sz="700">
            <a:solidFill>
              <a:srgbClr val="244800"/>
            </a:solidFill>
            <a:latin typeface="Arial Black"/>
            <a:ea typeface="Arial Black"/>
            <a:cs typeface="Arial Black"/>
            <a:sym typeface="Arial Black"/>
          </a:endParaRPr>
        </a:p>
      </xdr:txBody>
    </xdr:sp>
    <xdr:clientData fLocksWithSheet="0"/>
  </xdr:oneCellAnchor>
  <xdr:oneCellAnchor>
    <xdr:from>
      <xdr:col>23</xdr:col>
      <xdr:colOff>38100</xdr:colOff>
      <xdr:row>42</xdr:row>
      <xdr:rowOff>57150</xdr:rowOff>
    </xdr:from>
    <xdr:ext cx="609600" cy="476250"/>
    <xdr:sp>
      <xdr:nvSpPr>
        <xdr:cNvPr id="14" name="Shape 14"/>
        <xdr:cNvSpPr txBox="1"/>
      </xdr:nvSpPr>
      <xdr:spPr>
        <a:xfrm>
          <a:off x="5041200" y="3546638"/>
          <a:ext cx="609600" cy="466725"/>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700">
              <a:solidFill>
                <a:srgbClr val="244800"/>
              </a:solidFill>
              <a:latin typeface="Arial Black"/>
              <a:ea typeface="Arial Black"/>
              <a:cs typeface="Arial Black"/>
              <a:sym typeface="Arial Black"/>
            </a:rPr>
            <a:t>Fuel Moisture</a:t>
          </a:r>
          <a:endParaRPr sz="1400"/>
        </a:p>
      </xdr:txBody>
    </xdr:sp>
    <xdr:clientData fLocksWithSheet="0"/>
  </xdr:oneCellAnchor>
  <xdr:oneCellAnchor>
    <xdr:from>
      <xdr:col>23</xdr:col>
      <xdr:colOff>504825</xdr:colOff>
      <xdr:row>39</xdr:row>
      <xdr:rowOff>28575</xdr:rowOff>
    </xdr:from>
    <xdr:ext cx="171450" cy="190500"/>
    <xdr:sp>
      <xdr:nvSpPr>
        <xdr:cNvPr id="15" name="Shape 15"/>
        <xdr:cNvSpPr txBox="1"/>
      </xdr:nvSpPr>
      <xdr:spPr>
        <a:xfrm>
          <a:off x="5264408" y="3685070"/>
          <a:ext cx="163185" cy="18986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b="1" i="0" sz="1100">
            <a:solidFill>
              <a:srgbClr val="244800"/>
            </a:solidFill>
            <a:latin typeface="Arial Black"/>
            <a:ea typeface="Arial Black"/>
            <a:cs typeface="Arial Black"/>
            <a:sym typeface="Arial Black"/>
          </a:endParaRPr>
        </a:p>
      </xdr:txBody>
    </xdr:sp>
    <xdr:clientData fLocksWithSheet="0"/>
  </xdr:oneCellAnchor>
  <xdr:oneCellAnchor>
    <xdr:from>
      <xdr:col>24</xdr:col>
      <xdr:colOff>9525</xdr:colOff>
      <xdr:row>38</xdr:row>
      <xdr:rowOff>114300</xdr:rowOff>
    </xdr:from>
    <xdr:ext cx="704850" cy="438150"/>
    <xdr:sp>
      <xdr:nvSpPr>
        <xdr:cNvPr id="16" name="Shape 16"/>
        <xdr:cNvSpPr txBox="1"/>
      </xdr:nvSpPr>
      <xdr:spPr>
        <a:xfrm>
          <a:off x="4994883" y="3563353"/>
          <a:ext cx="702235" cy="433294"/>
        </a:xfrm>
        <a:prstGeom prst="rect">
          <a:avLst/>
        </a:prstGeom>
        <a:noFill/>
        <a:ln>
          <a:noFill/>
        </a:ln>
      </xdr:spPr>
      <xdr:txBody>
        <a:bodyPr anchorCtr="0" anchor="ctr" bIns="0" lIns="0" spcFirstLastPara="1" rIns="0" wrap="square" tIns="0">
          <a:noAutofit/>
        </a:bodyPr>
        <a:lstStyle/>
        <a:p>
          <a:pPr indent="0" lvl="0" marL="0" rtl="0" algn="l">
            <a:spcBef>
              <a:spcPts val="0"/>
            </a:spcBef>
            <a:spcAft>
              <a:spcPts val="0"/>
            </a:spcAft>
            <a:buNone/>
          </a:pPr>
          <a:r>
            <a:t/>
          </a:r>
          <a:endParaRPr b="1" i="0" sz="1100">
            <a:solidFill>
              <a:srgbClr val="244800"/>
            </a:solidFill>
            <a:latin typeface="Arial Black"/>
            <a:ea typeface="Arial Black"/>
            <a:cs typeface="Arial Black"/>
            <a:sym typeface="Arial Black"/>
          </a:endParaRPr>
        </a:p>
      </xdr:txBody>
    </xdr:sp>
    <xdr:clientData fLocksWithSheet="0"/>
  </xdr:oneCellAnchor>
  <xdr:oneCellAnchor>
    <xdr:from>
      <xdr:col>19</xdr:col>
      <xdr:colOff>57150</xdr:colOff>
      <xdr:row>40</xdr:row>
      <xdr:rowOff>104775</xdr:rowOff>
    </xdr:from>
    <xdr:ext cx="1514475" cy="266700"/>
    <xdr:sp>
      <xdr:nvSpPr>
        <xdr:cNvPr id="17" name="Shape 17"/>
        <xdr:cNvSpPr txBox="1"/>
      </xdr:nvSpPr>
      <xdr:spPr>
        <a:xfrm>
          <a:off x="4593525" y="3651413"/>
          <a:ext cx="1504950" cy="257175"/>
        </a:xfrm>
        <a:prstGeom prst="rect">
          <a:avLst/>
        </a:prstGeom>
        <a:no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rgbClr val="000000"/>
              </a:solidFill>
              <a:latin typeface="Arial"/>
              <a:ea typeface="Arial"/>
              <a:cs typeface="Arial"/>
              <a:sym typeface="Arial"/>
            </a:rPr>
            <a:t>20%</a:t>
          </a:r>
          <a:endParaRPr sz="1400"/>
        </a:p>
      </xdr:txBody>
    </xdr:sp>
    <xdr:clientData fLocksWithSheet="0"/>
  </xdr:oneCellAnchor>
  <xdr:oneCellAnchor>
    <xdr:from>
      <xdr:col>19</xdr:col>
      <xdr:colOff>57150</xdr:colOff>
      <xdr:row>42</xdr:row>
      <xdr:rowOff>38100</xdr:rowOff>
    </xdr:from>
    <xdr:ext cx="1514475" cy="333375"/>
    <xdr:sp>
      <xdr:nvSpPr>
        <xdr:cNvPr id="18" name="Shape 18"/>
        <xdr:cNvSpPr txBox="1"/>
      </xdr:nvSpPr>
      <xdr:spPr>
        <a:xfrm>
          <a:off x="4593525" y="3618075"/>
          <a:ext cx="1504950" cy="323850"/>
        </a:xfrm>
        <a:prstGeom prst="rect">
          <a:avLst/>
        </a:prstGeom>
        <a:no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200">
            <a:solidFill>
              <a:srgbClr val="000000"/>
            </a:solidFill>
            <a:latin typeface="Arial"/>
            <a:ea typeface="Arial"/>
            <a:cs typeface="Arial"/>
            <a:sym typeface="Arial"/>
          </a:endParaRPr>
        </a:p>
      </xdr:txBody>
    </xdr:sp>
    <xdr:clientData fLocksWithSheet="0"/>
  </xdr:oneCellAnchor>
  <xdr:oneCellAnchor>
    <xdr:from>
      <xdr:col>15</xdr:col>
      <xdr:colOff>285750</xdr:colOff>
      <xdr:row>0</xdr:row>
      <xdr:rowOff>133350</xdr:rowOff>
    </xdr:from>
    <xdr:ext cx="600075" cy="11239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171450</xdr:colOff>
      <xdr:row>0</xdr:row>
      <xdr:rowOff>123825</xdr:rowOff>
    </xdr:from>
    <xdr:ext cx="590550" cy="1171575"/>
    <xdr:pic>
      <xdr:nvPicPr>
        <xdr:cNvPr descr="bfp logo"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161925</xdr:colOff>
      <xdr:row>0</xdr:row>
      <xdr:rowOff>152400</xdr:rowOff>
    </xdr:from>
    <xdr:ext cx="523875" cy="11144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E8B31C"/>
      </a:accent1>
      <a:accent2>
        <a:srgbClr val="499000"/>
      </a:accent2>
      <a:accent3>
        <a:srgbClr val="D94717"/>
      </a:accent3>
      <a:accent4>
        <a:srgbClr val="2374B8"/>
      </a:accent4>
      <a:accent5>
        <a:srgbClr val="E77712"/>
      </a:accent5>
      <a:accent6>
        <a:srgbClr val="7947A9"/>
      </a:accent6>
      <a:hlink>
        <a:srgbClr val="2374B8"/>
      </a:hlink>
      <a:folHlink>
        <a:srgbClr val="2374B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4800"/>
    <pageSetUpPr fitToPage="1"/>
  </sheetPr>
  <sheetViews>
    <sheetView workbookViewId="0"/>
  </sheetViews>
  <sheetFormatPr customHeight="1" defaultColWidth="12.63" defaultRowHeight="15.0"/>
  <cols>
    <col customWidth="1" min="1" max="1" width="2.88"/>
    <col customWidth="1" min="2" max="2" width="20.88"/>
    <col customWidth="1" min="3" max="3" width="1.38"/>
    <col customWidth="1" min="4" max="5" width="3.88"/>
    <col customWidth="1" min="6" max="6" width="1.38"/>
    <col customWidth="1" min="7" max="8" width="3.88"/>
    <col customWidth="1" min="9" max="9" width="1.25"/>
    <col customWidth="1" min="10" max="13" width="3.88"/>
    <col customWidth="1" min="14" max="14" width="1.25"/>
    <col customWidth="1" min="15" max="18" width="3.88"/>
    <col customWidth="1" min="19" max="19" width="5.88"/>
    <col customWidth="1" min="20" max="20" width="20.88"/>
    <col customWidth="1" min="21" max="21" width="1.38"/>
    <col customWidth="1" min="22" max="23" width="7.88"/>
    <col customWidth="1" min="24" max="24" width="9.25"/>
    <col customWidth="1" min="25" max="25" width="9.63"/>
    <col customWidth="1" min="26" max="26" width="3.38"/>
    <col customWidth="1" hidden="1" min="27" max="28" width="8.63"/>
  </cols>
  <sheetData>
    <row r="1" ht="30.0" customHeight="1">
      <c r="A1" s="1"/>
      <c r="B1" s="2"/>
      <c r="C1" s="3"/>
      <c r="D1" s="3"/>
      <c r="E1" s="3"/>
      <c r="F1" s="3"/>
      <c r="G1" s="3"/>
      <c r="H1" s="3"/>
      <c r="I1" s="3"/>
      <c r="J1" s="3"/>
      <c r="K1" s="3"/>
      <c r="L1" s="3"/>
      <c r="M1" s="3"/>
      <c r="N1" s="3"/>
      <c r="O1" s="3"/>
      <c r="P1" s="3"/>
      <c r="Q1" s="3"/>
      <c r="R1" s="3"/>
      <c r="S1" s="3"/>
      <c r="T1" s="3"/>
      <c r="U1" s="3"/>
      <c r="V1" s="3"/>
      <c r="W1" s="3"/>
      <c r="X1" s="3"/>
      <c r="Y1" s="4"/>
      <c r="Z1" s="1"/>
      <c r="AA1" s="5"/>
      <c r="AB1" s="5"/>
    </row>
    <row r="2" ht="30.0" customHeight="1">
      <c r="A2" s="1"/>
      <c r="B2" s="6"/>
      <c r="C2" s="1"/>
      <c r="D2" s="1"/>
      <c r="E2" s="1"/>
      <c r="F2" s="1"/>
      <c r="G2" s="1"/>
      <c r="H2" s="1"/>
      <c r="I2" s="1"/>
      <c r="J2" s="1"/>
      <c r="K2" s="1"/>
      <c r="L2" s="1"/>
      <c r="M2" s="1"/>
      <c r="N2" s="1"/>
      <c r="O2" s="1"/>
      <c r="P2" s="1"/>
      <c r="Q2" s="1"/>
      <c r="R2" s="1"/>
      <c r="S2" s="1"/>
      <c r="T2" s="1"/>
      <c r="U2" s="1"/>
      <c r="V2" s="1"/>
      <c r="W2" s="1"/>
      <c r="X2" s="1"/>
      <c r="Y2" s="7"/>
      <c r="Z2" s="1"/>
      <c r="AA2" s="5"/>
      <c r="AB2" s="5"/>
    </row>
    <row r="3" ht="30.0" customHeight="1">
      <c r="A3" s="1"/>
      <c r="B3" s="6"/>
      <c r="C3" s="1"/>
      <c r="D3" s="1"/>
      <c r="E3" s="1"/>
      <c r="F3" s="1"/>
      <c r="G3" s="1"/>
      <c r="H3" s="1"/>
      <c r="I3" s="1"/>
      <c r="J3" s="1"/>
      <c r="K3" s="1"/>
      <c r="L3" s="1"/>
      <c r="M3" s="1"/>
      <c r="N3" s="1"/>
      <c r="O3" s="1"/>
      <c r="P3" s="1"/>
      <c r="Q3" s="1"/>
      <c r="R3" s="1"/>
      <c r="S3" s="1"/>
      <c r="T3" s="1"/>
      <c r="U3" s="1"/>
      <c r="V3" s="1"/>
      <c r="W3" s="1"/>
      <c r="X3" s="1"/>
      <c r="Y3" s="7"/>
      <c r="Z3" s="1"/>
      <c r="AA3" s="5"/>
      <c r="AB3" s="5"/>
    </row>
    <row r="4" ht="30.0" customHeight="1">
      <c r="A4" s="1"/>
      <c r="B4" s="6"/>
      <c r="C4" s="1"/>
      <c r="D4" s="1"/>
      <c r="E4" s="1"/>
      <c r="F4" s="1"/>
      <c r="G4" s="1"/>
      <c r="H4" s="1"/>
      <c r="I4" s="1"/>
      <c r="J4" s="1"/>
      <c r="K4" s="1"/>
      <c r="L4" s="1"/>
      <c r="M4" s="1"/>
      <c r="N4" s="1"/>
      <c r="O4" s="1"/>
      <c r="P4" s="1"/>
      <c r="Q4" s="1"/>
      <c r="R4" s="1"/>
      <c r="S4" s="1"/>
      <c r="T4" s="1"/>
      <c r="U4" s="1"/>
      <c r="V4" s="1"/>
      <c r="W4" s="1"/>
      <c r="X4" s="1"/>
      <c r="Y4" s="7"/>
      <c r="Z4" s="1"/>
      <c r="AA4" s="5"/>
      <c r="AB4" s="5"/>
    </row>
    <row r="5" ht="30.0" customHeight="1">
      <c r="A5" s="8"/>
      <c r="B5" s="9" t="s">
        <v>0</v>
      </c>
      <c r="C5" s="10"/>
      <c r="D5" s="10"/>
      <c r="E5" s="10"/>
      <c r="F5" s="10"/>
      <c r="G5" s="10"/>
      <c r="H5" s="10"/>
      <c r="I5" s="10"/>
      <c r="J5" s="10"/>
      <c r="K5" s="10"/>
      <c r="L5" s="10"/>
      <c r="M5" s="10"/>
      <c r="N5" s="10"/>
      <c r="O5" s="10"/>
      <c r="P5" s="10"/>
      <c r="Q5" s="10"/>
      <c r="R5" s="10"/>
      <c r="S5" s="10"/>
      <c r="T5" s="10"/>
      <c r="U5" s="10"/>
      <c r="V5" s="10"/>
      <c r="W5" s="10"/>
      <c r="X5" s="10"/>
      <c r="Y5" s="10"/>
      <c r="Z5" s="11"/>
      <c r="AA5" s="12"/>
      <c r="AB5" s="12"/>
    </row>
    <row r="6" ht="30.0" customHeight="1">
      <c r="A6" s="8"/>
      <c r="B6" s="9" t="s">
        <v>1</v>
      </c>
      <c r="C6" s="10"/>
      <c r="D6" s="10"/>
      <c r="E6" s="10"/>
      <c r="F6" s="10"/>
      <c r="G6" s="10"/>
      <c r="H6" s="10"/>
      <c r="I6" s="10"/>
      <c r="J6" s="10"/>
      <c r="K6" s="10"/>
      <c r="L6" s="10"/>
      <c r="M6" s="10"/>
      <c r="N6" s="10"/>
      <c r="O6" s="10"/>
      <c r="P6" s="10"/>
      <c r="Q6" s="10"/>
      <c r="R6" s="10"/>
      <c r="S6" s="10"/>
      <c r="T6" s="10"/>
      <c r="U6" s="10"/>
      <c r="V6" s="10"/>
      <c r="W6" s="10"/>
      <c r="X6" s="10"/>
      <c r="Y6" s="10"/>
      <c r="Z6" s="11"/>
      <c r="AA6" s="12"/>
      <c r="AB6" s="12"/>
    </row>
    <row r="7" ht="30.0" customHeight="1">
      <c r="A7" s="8"/>
      <c r="B7" s="9" t="s">
        <v>2</v>
      </c>
      <c r="C7" s="10"/>
      <c r="D7" s="10"/>
      <c r="E7" s="10"/>
      <c r="F7" s="10"/>
      <c r="G7" s="10"/>
      <c r="H7" s="10"/>
      <c r="I7" s="10"/>
      <c r="J7" s="10"/>
      <c r="K7" s="10"/>
      <c r="L7" s="10"/>
      <c r="M7" s="10"/>
      <c r="N7" s="10"/>
      <c r="O7" s="10"/>
      <c r="P7" s="10"/>
      <c r="Q7" s="10"/>
      <c r="R7" s="10"/>
      <c r="S7" s="10"/>
      <c r="T7" s="10"/>
      <c r="U7" s="10"/>
      <c r="V7" s="10"/>
      <c r="W7" s="10"/>
      <c r="X7" s="10"/>
      <c r="Y7" s="10"/>
      <c r="Z7" s="11"/>
      <c r="AA7" s="12"/>
      <c r="AB7" s="12"/>
    </row>
    <row r="8" ht="30.0" customHeight="1">
      <c r="A8" s="8"/>
      <c r="B8" s="9" t="s">
        <v>3</v>
      </c>
      <c r="C8" s="10"/>
      <c r="D8" s="10"/>
      <c r="E8" s="10"/>
      <c r="F8" s="10"/>
      <c r="G8" s="10"/>
      <c r="H8" s="10"/>
      <c r="I8" s="10"/>
      <c r="J8" s="10"/>
      <c r="K8" s="10"/>
      <c r="L8" s="10"/>
      <c r="M8" s="10"/>
      <c r="N8" s="10"/>
      <c r="O8" s="10"/>
      <c r="P8" s="10"/>
      <c r="Q8" s="10"/>
      <c r="R8" s="10"/>
      <c r="S8" s="10"/>
      <c r="T8" s="10"/>
      <c r="U8" s="10"/>
      <c r="V8" s="10"/>
      <c r="W8" s="10"/>
      <c r="X8" s="10"/>
      <c r="Y8" s="10"/>
      <c r="Z8" s="11"/>
      <c r="AA8" s="12"/>
      <c r="AB8" s="12"/>
    </row>
    <row r="9" ht="30.0" customHeight="1">
      <c r="A9" s="8"/>
      <c r="B9" s="9" t="s">
        <v>4</v>
      </c>
      <c r="C9" s="10"/>
      <c r="D9" s="10"/>
      <c r="E9" s="10"/>
      <c r="F9" s="10"/>
      <c r="G9" s="10"/>
      <c r="H9" s="10"/>
      <c r="I9" s="10"/>
      <c r="J9" s="10"/>
      <c r="K9" s="10"/>
      <c r="L9" s="10"/>
      <c r="M9" s="10"/>
      <c r="N9" s="10"/>
      <c r="O9" s="10"/>
      <c r="P9" s="10"/>
      <c r="Q9" s="10"/>
      <c r="R9" s="10"/>
      <c r="S9" s="10"/>
      <c r="T9" s="10"/>
      <c r="U9" s="10"/>
      <c r="V9" s="10"/>
      <c r="W9" s="10"/>
      <c r="X9" s="10"/>
      <c r="Y9" s="10"/>
      <c r="Z9" s="11"/>
      <c r="AA9" s="13"/>
      <c r="AB9" s="13"/>
    </row>
    <row r="10" ht="30.0" customHeight="1">
      <c r="A10" s="8"/>
      <c r="B10" s="9" t="s">
        <v>5</v>
      </c>
      <c r="C10" s="10"/>
      <c r="D10" s="10"/>
      <c r="E10" s="10"/>
      <c r="F10" s="10"/>
      <c r="G10" s="10"/>
      <c r="H10" s="10"/>
      <c r="I10" s="10"/>
      <c r="J10" s="10"/>
      <c r="K10" s="10"/>
      <c r="L10" s="10"/>
      <c r="M10" s="10"/>
      <c r="N10" s="10"/>
      <c r="O10" s="10"/>
      <c r="P10" s="10"/>
      <c r="Q10" s="10"/>
      <c r="R10" s="10"/>
      <c r="S10" s="10"/>
      <c r="T10" s="10"/>
      <c r="U10" s="10"/>
      <c r="V10" s="10"/>
      <c r="W10" s="10"/>
      <c r="X10" s="10"/>
      <c r="Y10" s="10"/>
      <c r="Z10" s="11"/>
      <c r="AA10" s="13"/>
      <c r="AB10" s="13"/>
    </row>
    <row r="11" ht="30.0" customHeight="1">
      <c r="A11" s="14"/>
      <c r="B11" s="15"/>
      <c r="C11" s="16"/>
      <c r="D11" s="16"/>
      <c r="E11" s="16"/>
      <c r="F11" s="16"/>
      <c r="G11" s="16"/>
      <c r="H11" s="16"/>
      <c r="I11" s="16"/>
      <c r="J11" s="16"/>
      <c r="K11" s="16"/>
      <c r="L11" s="16"/>
      <c r="M11" s="16"/>
      <c r="N11" s="16"/>
      <c r="O11" s="16"/>
      <c r="P11" s="16"/>
      <c r="Q11" s="16"/>
      <c r="R11" s="16"/>
      <c r="S11" s="16"/>
      <c r="T11" s="16"/>
      <c r="U11" s="16"/>
      <c r="V11" s="16"/>
      <c r="W11" s="16"/>
      <c r="X11" s="16"/>
      <c r="Y11" s="17"/>
      <c r="Z11" s="16"/>
      <c r="AA11" s="1"/>
      <c r="AB11" s="1"/>
    </row>
    <row r="12" ht="27.75" customHeight="1">
      <c r="A12" s="1"/>
      <c r="B12" s="18" t="s">
        <v>6</v>
      </c>
      <c r="C12" s="10"/>
      <c r="D12" s="10"/>
      <c r="E12" s="10"/>
      <c r="F12" s="10"/>
      <c r="G12" s="10"/>
      <c r="H12" s="10"/>
      <c r="I12" s="10"/>
      <c r="J12" s="10"/>
      <c r="K12" s="10"/>
      <c r="L12" s="10"/>
      <c r="M12" s="10"/>
      <c r="N12" s="10"/>
      <c r="O12" s="10"/>
      <c r="P12" s="10"/>
      <c r="Q12" s="10"/>
      <c r="R12" s="10"/>
      <c r="S12" s="10"/>
      <c r="T12" s="10"/>
      <c r="U12" s="10"/>
      <c r="V12" s="10"/>
      <c r="W12" s="10"/>
      <c r="X12" s="10"/>
      <c r="Y12" s="10"/>
      <c r="Z12" s="11"/>
      <c r="AA12" s="1"/>
      <c r="AB12" s="1"/>
    </row>
    <row r="13" ht="30.0" customHeight="1">
      <c r="A13" s="19"/>
      <c r="B13" s="20" t="s">
        <v>7</v>
      </c>
      <c r="C13" s="10"/>
      <c r="D13" s="10"/>
      <c r="E13" s="10"/>
      <c r="F13" s="10"/>
      <c r="G13" s="10"/>
      <c r="H13" s="10"/>
      <c r="I13" s="10"/>
      <c r="J13" s="10"/>
      <c r="K13" s="10"/>
      <c r="L13" s="10"/>
      <c r="M13" s="10"/>
      <c r="N13" s="10"/>
      <c r="O13" s="10"/>
      <c r="P13" s="10"/>
      <c r="Q13" s="10"/>
      <c r="R13" s="11"/>
      <c r="S13" s="19"/>
      <c r="T13" s="21" t="s">
        <v>8</v>
      </c>
      <c r="U13" s="10"/>
      <c r="V13" s="10"/>
      <c r="W13" s="10"/>
      <c r="X13" s="10"/>
      <c r="Y13" s="22"/>
      <c r="Z13" s="23"/>
      <c r="AA13" s="24"/>
      <c r="AB13" s="24"/>
    </row>
    <row r="14" ht="14.25" customHeight="1">
      <c r="A14" s="19"/>
      <c r="B14" s="25"/>
      <c r="C14" s="26"/>
      <c r="D14" s="27" t="s">
        <v>9</v>
      </c>
      <c r="E14" s="11"/>
      <c r="F14" s="28"/>
      <c r="G14" s="27" t="s">
        <v>10</v>
      </c>
      <c r="H14" s="11"/>
      <c r="I14" s="28"/>
      <c r="J14" s="27" t="s">
        <v>11</v>
      </c>
      <c r="K14" s="10"/>
      <c r="L14" s="10"/>
      <c r="M14" s="11"/>
      <c r="N14" s="28"/>
      <c r="O14" s="27" t="s">
        <v>12</v>
      </c>
      <c r="P14" s="10"/>
      <c r="Q14" s="10"/>
      <c r="R14" s="11"/>
      <c r="S14" s="19"/>
      <c r="T14" s="26"/>
      <c r="U14" s="26"/>
      <c r="V14" s="26"/>
      <c r="W14" s="26"/>
      <c r="X14" s="26"/>
      <c r="Y14" s="29"/>
      <c r="Z14" s="30"/>
      <c r="AA14" s="24"/>
      <c r="AB14" s="24"/>
    </row>
    <row r="15" ht="24.75" customHeight="1">
      <c r="A15" s="1"/>
      <c r="B15" s="31" t="s">
        <v>13</v>
      </c>
      <c r="C15" s="32"/>
      <c r="D15" s="33">
        <v>0.0</v>
      </c>
      <c r="E15" s="33">
        <v>1.0</v>
      </c>
      <c r="F15" s="34"/>
      <c r="G15" s="33">
        <v>2.0</v>
      </c>
      <c r="H15" s="33">
        <v>2.0</v>
      </c>
      <c r="I15" s="34"/>
      <c r="J15" s="33">
        <v>2.0</v>
      </c>
      <c r="K15" s="33">
        <v>0.0</v>
      </c>
      <c r="L15" s="33">
        <v>2.0</v>
      </c>
      <c r="M15" s="33">
        <v>4.0</v>
      </c>
      <c r="N15" s="34"/>
      <c r="O15" s="33">
        <v>1.0</v>
      </c>
      <c r="P15" s="33">
        <v>9.0</v>
      </c>
      <c r="Q15" s="33">
        <v>0.0</v>
      </c>
      <c r="R15" s="33">
        <v>0.0</v>
      </c>
      <c r="S15" s="35"/>
      <c r="T15" s="36" t="s">
        <v>14</v>
      </c>
      <c r="U15" s="32"/>
      <c r="V15" s="37" t="s">
        <v>15</v>
      </c>
      <c r="W15" s="38"/>
      <c r="X15" s="38"/>
      <c r="Y15" s="39"/>
      <c r="Z15" s="40"/>
      <c r="AA15" s="1"/>
      <c r="AB15" s="41"/>
    </row>
    <row r="16" ht="30.0" customHeight="1">
      <c r="A16" s="1"/>
      <c r="B16" s="31"/>
      <c r="C16" s="32"/>
      <c r="D16" s="34"/>
      <c r="E16" s="34"/>
      <c r="F16" s="34"/>
      <c r="G16" s="34"/>
      <c r="H16" s="34"/>
      <c r="I16" s="34"/>
      <c r="J16" s="34"/>
      <c r="K16" s="34"/>
      <c r="L16" s="34"/>
      <c r="M16" s="34"/>
      <c r="N16" s="34"/>
      <c r="O16" s="34"/>
      <c r="P16" s="34"/>
      <c r="Q16" s="34"/>
      <c r="R16" s="34"/>
      <c r="S16" s="35"/>
      <c r="T16" s="36"/>
      <c r="U16" s="32"/>
      <c r="V16" s="42"/>
      <c r="W16" s="42"/>
      <c r="X16" s="42"/>
      <c r="Y16" s="43"/>
      <c r="Z16" s="44"/>
      <c r="AA16" s="1"/>
      <c r="AB16" s="41"/>
    </row>
    <row r="17" ht="24.75" customHeight="1">
      <c r="A17" s="1"/>
      <c r="B17" s="31" t="s">
        <v>16</v>
      </c>
      <c r="C17" s="32"/>
      <c r="D17" s="33">
        <v>0.0</v>
      </c>
      <c r="E17" s="33">
        <v>1.0</v>
      </c>
      <c r="F17" s="34"/>
      <c r="G17" s="33">
        <v>2.0</v>
      </c>
      <c r="H17" s="33">
        <v>2.0</v>
      </c>
      <c r="I17" s="34"/>
      <c r="J17" s="33">
        <v>2.0</v>
      </c>
      <c r="K17" s="33">
        <v>0.0</v>
      </c>
      <c r="L17" s="33">
        <v>2.0</v>
      </c>
      <c r="M17" s="33">
        <v>4.0</v>
      </c>
      <c r="N17" s="34"/>
      <c r="O17" s="33">
        <v>1.0</v>
      </c>
      <c r="P17" s="33">
        <v>8.0</v>
      </c>
      <c r="Q17" s="33">
        <v>4.0</v>
      </c>
      <c r="R17" s="33">
        <v>5.0</v>
      </c>
      <c r="S17" s="35"/>
      <c r="T17" s="36" t="s">
        <v>17</v>
      </c>
      <c r="U17" s="32"/>
      <c r="V17" s="37" t="s">
        <v>18</v>
      </c>
      <c r="W17" s="38"/>
      <c r="X17" s="38"/>
      <c r="Y17" s="39"/>
      <c r="Z17" s="40"/>
      <c r="AA17" s="1"/>
      <c r="AB17" s="1"/>
    </row>
    <row r="18" ht="13.5" customHeight="1">
      <c r="A18" s="1"/>
      <c r="B18" s="31"/>
      <c r="C18" s="32"/>
      <c r="D18" s="34"/>
      <c r="E18" s="34"/>
      <c r="F18" s="34"/>
      <c r="G18" s="34"/>
      <c r="H18" s="34"/>
      <c r="I18" s="34"/>
      <c r="J18" s="34"/>
      <c r="K18" s="34"/>
      <c r="L18" s="34"/>
      <c r="M18" s="34"/>
      <c r="N18" s="34"/>
      <c r="O18" s="34"/>
      <c r="P18" s="34"/>
      <c r="Q18" s="34"/>
      <c r="R18" s="34"/>
      <c r="S18" s="35"/>
      <c r="T18" s="36"/>
      <c r="U18" s="32"/>
      <c r="V18" s="42"/>
      <c r="W18" s="42"/>
      <c r="X18" s="42"/>
      <c r="Y18" s="43"/>
      <c r="Z18" s="44"/>
      <c r="AA18" s="1"/>
      <c r="AB18" s="1"/>
    </row>
    <row r="19" ht="24.75" customHeight="1">
      <c r="A19" s="1"/>
      <c r="B19" s="31" t="s">
        <v>19</v>
      </c>
      <c r="C19" s="32"/>
      <c r="D19" s="33">
        <v>0.0</v>
      </c>
      <c r="E19" s="33">
        <v>1.0</v>
      </c>
      <c r="F19" s="34"/>
      <c r="G19" s="33">
        <v>2.0</v>
      </c>
      <c r="H19" s="33">
        <v>2.0</v>
      </c>
      <c r="I19" s="34"/>
      <c r="J19" s="33">
        <v>2.0</v>
      </c>
      <c r="K19" s="33">
        <v>0.0</v>
      </c>
      <c r="L19" s="33">
        <v>2.0</v>
      </c>
      <c r="M19" s="33">
        <v>4.0</v>
      </c>
      <c r="N19" s="34"/>
      <c r="O19" s="33">
        <v>1.0</v>
      </c>
      <c r="P19" s="33">
        <v>9.0</v>
      </c>
      <c r="Q19" s="33">
        <v>0.0</v>
      </c>
      <c r="R19" s="33">
        <v>7.0</v>
      </c>
      <c r="S19" s="35"/>
      <c r="T19" s="36" t="s">
        <v>20</v>
      </c>
      <c r="U19" s="32"/>
      <c r="V19" s="37" t="s">
        <v>21</v>
      </c>
      <c r="W19" s="38"/>
      <c r="X19" s="38"/>
      <c r="Y19" s="39"/>
      <c r="Z19" s="40"/>
      <c r="AA19" s="1"/>
      <c r="AB19" s="1"/>
    </row>
    <row r="20" ht="13.5" customHeight="1">
      <c r="A20" s="1"/>
      <c r="B20" s="31"/>
      <c r="C20" s="32"/>
      <c r="D20" s="34"/>
      <c r="E20" s="34"/>
      <c r="F20" s="34"/>
      <c r="G20" s="34"/>
      <c r="H20" s="34"/>
      <c r="I20" s="34"/>
      <c r="J20" s="34"/>
      <c r="K20" s="34"/>
      <c r="L20" s="34"/>
      <c r="M20" s="34"/>
      <c r="N20" s="34"/>
      <c r="O20" s="34"/>
      <c r="P20" s="34"/>
      <c r="Q20" s="34"/>
      <c r="R20" s="34"/>
      <c r="S20" s="35"/>
      <c r="T20" s="45"/>
      <c r="U20" s="45"/>
      <c r="V20" s="45"/>
      <c r="W20" s="45"/>
      <c r="X20" s="45"/>
      <c r="Y20" s="46"/>
      <c r="Z20" s="47"/>
      <c r="AA20" s="1"/>
      <c r="AB20" s="1"/>
    </row>
    <row r="21" ht="24.75" customHeight="1">
      <c r="A21" s="1"/>
      <c r="B21" s="31" t="s">
        <v>22</v>
      </c>
      <c r="C21" s="32"/>
      <c r="D21" s="33">
        <v>0.0</v>
      </c>
      <c r="E21" s="33">
        <v>1.0</v>
      </c>
      <c r="F21" s="34"/>
      <c r="G21" s="33">
        <v>2.0</v>
      </c>
      <c r="H21" s="33">
        <v>2.0</v>
      </c>
      <c r="I21" s="34"/>
      <c r="J21" s="33">
        <v>2.0</v>
      </c>
      <c r="K21" s="33">
        <v>0.0</v>
      </c>
      <c r="L21" s="33">
        <v>2.0</v>
      </c>
      <c r="M21" s="33">
        <v>4.0</v>
      </c>
      <c r="N21" s="34"/>
      <c r="O21" s="33">
        <v>1.0</v>
      </c>
      <c r="P21" s="33">
        <v>9.0</v>
      </c>
      <c r="Q21" s="33">
        <v>2.0</v>
      </c>
      <c r="R21" s="33">
        <v>0.0</v>
      </c>
      <c r="S21" s="35"/>
      <c r="T21" s="21" t="s">
        <v>23</v>
      </c>
      <c r="U21" s="10"/>
      <c r="V21" s="10"/>
      <c r="W21" s="10"/>
      <c r="X21" s="10"/>
      <c r="Y21" s="22"/>
      <c r="Z21" s="23"/>
      <c r="AA21" s="1"/>
      <c r="AB21" s="1"/>
    </row>
    <row r="22" ht="9.75" customHeight="1">
      <c r="A22" s="48"/>
      <c r="B22" s="49"/>
      <c r="C22" s="45"/>
      <c r="D22" s="50"/>
      <c r="E22" s="10"/>
      <c r="F22" s="10"/>
      <c r="G22" s="10"/>
      <c r="H22" s="10"/>
      <c r="I22" s="10"/>
      <c r="J22" s="10"/>
      <c r="K22" s="10"/>
      <c r="L22" s="10"/>
      <c r="M22" s="10"/>
      <c r="N22" s="10"/>
      <c r="O22" s="10"/>
      <c r="P22" s="10"/>
      <c r="Q22" s="10"/>
      <c r="R22" s="11"/>
      <c r="S22" s="51"/>
      <c r="T22" s="52" t="s">
        <v>24</v>
      </c>
      <c r="U22" s="38"/>
      <c r="V22" s="39"/>
      <c r="W22" s="53" t="s">
        <v>25</v>
      </c>
      <c r="X22" s="38"/>
      <c r="Y22" s="39"/>
      <c r="Z22" s="54"/>
      <c r="AA22" s="48"/>
      <c r="AB22" s="48"/>
    </row>
    <row r="23" ht="24.75" customHeight="1">
      <c r="A23" s="1"/>
      <c r="B23" s="31" t="s">
        <v>26</v>
      </c>
      <c r="C23" s="32"/>
      <c r="D23" s="55" t="s">
        <v>27</v>
      </c>
      <c r="E23" s="56"/>
      <c r="F23" s="56"/>
      <c r="G23" s="56"/>
      <c r="H23" s="56"/>
      <c r="I23" s="56"/>
      <c r="J23" s="56"/>
      <c r="K23" s="56"/>
      <c r="L23" s="56"/>
      <c r="M23" s="56"/>
      <c r="N23" s="56"/>
      <c r="O23" s="56"/>
      <c r="P23" s="56"/>
      <c r="Q23" s="56"/>
      <c r="R23" s="57"/>
      <c r="S23" s="35"/>
      <c r="T23" s="55" t="s">
        <v>28</v>
      </c>
      <c r="U23" s="56"/>
      <c r="V23" s="57"/>
      <c r="W23" s="55" t="s">
        <v>29</v>
      </c>
      <c r="X23" s="56"/>
      <c r="Y23" s="57"/>
      <c r="Z23" s="58"/>
      <c r="AA23" s="1"/>
      <c r="AB23" s="1"/>
    </row>
    <row r="24" ht="4.5" customHeight="1">
      <c r="A24" s="1"/>
      <c r="B24" s="59"/>
      <c r="C24" s="60"/>
      <c r="D24" s="60"/>
      <c r="E24" s="60"/>
      <c r="F24" s="60"/>
      <c r="G24" s="60"/>
      <c r="H24" s="60"/>
      <c r="I24" s="60"/>
      <c r="J24" s="60"/>
      <c r="K24" s="60"/>
      <c r="L24" s="60"/>
      <c r="M24" s="60"/>
      <c r="N24" s="60"/>
      <c r="O24" s="60"/>
      <c r="P24" s="60"/>
      <c r="Q24" s="60"/>
      <c r="R24" s="14"/>
      <c r="S24" s="35"/>
      <c r="T24" s="61"/>
      <c r="U24" s="61"/>
      <c r="V24" s="61"/>
      <c r="W24" s="61"/>
      <c r="X24" s="61"/>
      <c r="Y24" s="62"/>
      <c r="Z24" s="14"/>
      <c r="AA24" s="1"/>
      <c r="AB24" s="1"/>
    </row>
    <row r="25" ht="24.75" customHeight="1">
      <c r="A25" s="63"/>
      <c r="B25" s="64" t="s">
        <v>30</v>
      </c>
      <c r="C25" s="10"/>
      <c r="D25" s="10"/>
      <c r="E25" s="11"/>
      <c r="F25" s="65"/>
      <c r="G25" s="65"/>
      <c r="H25" s="65"/>
      <c r="I25" s="65"/>
      <c r="J25" s="65"/>
      <c r="K25" s="65"/>
      <c r="L25" s="65"/>
      <c r="M25" s="65"/>
      <c r="N25" s="65"/>
      <c r="O25" s="66"/>
      <c r="P25" s="67" t="s">
        <v>31</v>
      </c>
      <c r="Q25" s="10"/>
      <c r="R25" s="10"/>
      <c r="S25" s="10"/>
      <c r="T25" s="11"/>
      <c r="U25" s="68"/>
      <c r="V25" s="69" t="s">
        <v>32</v>
      </c>
      <c r="W25" s="10"/>
      <c r="X25" s="10"/>
      <c r="Y25" s="22"/>
      <c r="Z25" s="70"/>
      <c r="AA25" s="71"/>
      <c r="AB25" s="71"/>
    </row>
    <row r="26" ht="9.75" customHeight="1">
      <c r="A26" s="63"/>
      <c r="B26" s="72"/>
      <c r="C26" s="65"/>
      <c r="D26" s="65"/>
      <c r="E26" s="65"/>
      <c r="F26" s="65"/>
      <c r="G26" s="65"/>
      <c r="H26" s="65"/>
      <c r="I26" s="65"/>
      <c r="J26" s="65"/>
      <c r="K26" s="65"/>
      <c r="L26" s="65"/>
      <c r="M26" s="65"/>
      <c r="N26" s="65"/>
      <c r="O26" s="66"/>
      <c r="P26" s="73"/>
      <c r="Q26" s="73"/>
      <c r="R26" s="74"/>
      <c r="S26" s="74"/>
      <c r="T26" s="74"/>
      <c r="U26" s="75"/>
      <c r="V26" s="76" t="s">
        <v>33</v>
      </c>
      <c r="W26" s="10"/>
      <c r="X26" s="10"/>
      <c r="Y26" s="22"/>
      <c r="Z26" s="77"/>
      <c r="AA26" s="71"/>
      <c r="AB26" s="71"/>
    </row>
    <row r="27" ht="24.75" customHeight="1">
      <c r="A27" s="63"/>
      <c r="B27" s="78" t="s">
        <v>34</v>
      </c>
      <c r="C27" s="79"/>
      <c r="D27" s="65"/>
      <c r="E27" s="80" t="s">
        <v>35</v>
      </c>
      <c r="F27" s="38"/>
      <c r="G27" s="38"/>
      <c r="H27" s="38"/>
      <c r="I27" s="38"/>
      <c r="J27" s="38"/>
      <c r="K27" s="38"/>
      <c r="L27" s="38"/>
      <c r="M27" s="81"/>
      <c r="N27" s="65"/>
      <c r="O27" s="66"/>
      <c r="P27" s="73"/>
      <c r="Q27" s="82"/>
      <c r="R27" s="82"/>
      <c r="S27" s="82"/>
      <c r="T27" s="74"/>
      <c r="U27" s="75"/>
      <c r="V27" s="80" t="s">
        <v>36</v>
      </c>
      <c r="W27" s="38"/>
      <c r="X27" s="38"/>
      <c r="Y27" s="39"/>
      <c r="Z27" s="83"/>
      <c r="AA27" s="71"/>
      <c r="AB27" s="71"/>
    </row>
    <row r="28" ht="24.75" customHeight="1">
      <c r="A28" s="63"/>
      <c r="B28" s="78" t="s">
        <v>37</v>
      </c>
      <c r="C28" s="79"/>
      <c r="D28" s="65"/>
      <c r="E28" s="80" t="s">
        <v>38</v>
      </c>
      <c r="F28" s="38"/>
      <c r="G28" s="38"/>
      <c r="H28" s="38"/>
      <c r="I28" s="38"/>
      <c r="J28" s="38"/>
      <c r="K28" s="38"/>
      <c r="L28" s="38"/>
      <c r="M28" s="81"/>
      <c r="N28" s="65"/>
      <c r="O28" s="66"/>
      <c r="P28" s="73"/>
      <c r="Q28" s="73"/>
      <c r="R28" s="74"/>
      <c r="S28" s="74"/>
      <c r="T28" s="74"/>
      <c r="U28" s="75"/>
      <c r="V28" s="84" t="s">
        <v>39</v>
      </c>
      <c r="W28" s="38"/>
      <c r="X28" s="38"/>
      <c r="Y28" s="39"/>
      <c r="Z28" s="79"/>
      <c r="AA28" s="71"/>
      <c r="AB28" s="71"/>
    </row>
    <row r="29" ht="24.75" customHeight="1">
      <c r="A29" s="63"/>
      <c r="B29" s="78" t="s">
        <v>37</v>
      </c>
      <c r="C29" s="79"/>
      <c r="D29" s="65"/>
      <c r="E29" s="80" t="s">
        <v>40</v>
      </c>
      <c r="F29" s="38"/>
      <c r="G29" s="38"/>
      <c r="H29" s="38"/>
      <c r="I29" s="38"/>
      <c r="J29" s="38"/>
      <c r="K29" s="38"/>
      <c r="L29" s="38"/>
      <c r="M29" s="81"/>
      <c r="N29" s="65"/>
      <c r="O29" s="66"/>
      <c r="P29" s="73"/>
      <c r="Q29" s="73"/>
      <c r="R29" s="74"/>
      <c r="S29" s="74"/>
      <c r="T29" s="74"/>
      <c r="U29" s="75"/>
      <c r="V29" s="84" t="s">
        <v>41</v>
      </c>
      <c r="W29" s="38"/>
      <c r="X29" s="38"/>
      <c r="Y29" s="39"/>
      <c r="Z29" s="79"/>
      <c r="AA29" s="71"/>
      <c r="AB29" s="71"/>
    </row>
    <row r="30" ht="4.5" customHeight="1">
      <c r="A30" s="1"/>
      <c r="B30" s="85"/>
      <c r="C30" s="86"/>
      <c r="D30" s="86"/>
      <c r="E30" s="86"/>
      <c r="F30" s="86"/>
      <c r="G30" s="86"/>
      <c r="H30" s="86"/>
      <c r="I30" s="86"/>
      <c r="J30" s="86"/>
      <c r="K30" s="86"/>
      <c r="L30" s="86"/>
      <c r="M30" s="86"/>
      <c r="N30" s="86"/>
      <c r="O30" s="86"/>
      <c r="P30" s="75"/>
      <c r="Q30" s="75"/>
      <c r="R30" s="75"/>
      <c r="S30" s="75"/>
      <c r="T30" s="75"/>
      <c r="U30" s="75"/>
      <c r="V30" s="75"/>
      <c r="W30" s="75"/>
      <c r="X30" s="75"/>
      <c r="Y30" s="87"/>
      <c r="Z30" s="75"/>
      <c r="AA30" s="1"/>
      <c r="AB30" s="1"/>
    </row>
    <row r="31" ht="30.0" customHeight="1">
      <c r="A31" s="88"/>
      <c r="B31" s="89" t="s">
        <v>42</v>
      </c>
      <c r="C31" s="70"/>
      <c r="D31" s="66"/>
      <c r="E31" s="90" t="s">
        <v>43</v>
      </c>
      <c r="F31" s="10"/>
      <c r="G31" s="10"/>
      <c r="H31" s="10"/>
      <c r="I31" s="10"/>
      <c r="J31" s="10"/>
      <c r="K31" s="10"/>
      <c r="L31" s="10"/>
      <c r="M31" s="10"/>
      <c r="N31" s="10"/>
      <c r="O31" s="10"/>
      <c r="P31" s="10"/>
      <c r="Q31" s="10"/>
      <c r="R31" s="10"/>
      <c r="S31" s="10"/>
      <c r="T31" s="11"/>
      <c r="U31" s="91"/>
      <c r="V31" s="92" t="s">
        <v>44</v>
      </c>
      <c r="W31" s="10"/>
      <c r="X31" s="10"/>
      <c r="Y31" s="22"/>
      <c r="Z31" s="93"/>
      <c r="AA31" s="94"/>
      <c r="AB31" s="94"/>
    </row>
    <row r="32" ht="9.75" customHeight="1">
      <c r="A32" s="1"/>
      <c r="B32" s="95"/>
      <c r="C32" s="77"/>
      <c r="D32" s="86"/>
      <c r="E32" s="77"/>
      <c r="F32" s="77"/>
      <c r="G32" s="77"/>
      <c r="H32" s="77"/>
      <c r="I32" s="77"/>
      <c r="J32" s="77"/>
      <c r="K32" s="77"/>
      <c r="L32" s="77"/>
      <c r="M32" s="77"/>
      <c r="N32" s="77"/>
      <c r="O32" s="77"/>
      <c r="P32" s="77"/>
      <c r="Q32" s="77"/>
      <c r="R32" s="77"/>
      <c r="S32" s="77"/>
      <c r="T32" s="77"/>
      <c r="U32" s="86"/>
      <c r="V32" s="77"/>
      <c r="W32" s="77"/>
      <c r="X32" s="77"/>
      <c r="Y32" s="96"/>
      <c r="Z32" s="77"/>
      <c r="AA32" s="1"/>
      <c r="AB32" s="1"/>
    </row>
    <row r="33" ht="30.0" customHeight="1">
      <c r="A33" s="1"/>
      <c r="B33" s="95"/>
      <c r="C33" s="77"/>
      <c r="D33" s="86"/>
      <c r="E33" s="77"/>
      <c r="F33" s="77"/>
      <c r="G33" s="77"/>
      <c r="H33" s="77"/>
      <c r="I33" s="77"/>
      <c r="J33" s="77"/>
      <c r="K33" s="77"/>
      <c r="L33" s="77"/>
      <c r="M33" s="77"/>
      <c r="N33" s="77"/>
      <c r="O33" s="77"/>
      <c r="P33" s="77"/>
      <c r="Q33" s="77"/>
      <c r="R33" s="77"/>
      <c r="S33" s="77"/>
      <c r="T33" s="77"/>
      <c r="U33" s="86"/>
      <c r="V33" s="77"/>
      <c r="W33" s="80" t="s">
        <v>45</v>
      </c>
      <c r="X33" s="38"/>
      <c r="Y33" s="39"/>
      <c r="Z33" s="97"/>
      <c r="AA33" s="1"/>
      <c r="AB33" s="1"/>
    </row>
    <row r="34" ht="30.0" customHeight="1">
      <c r="A34" s="1"/>
      <c r="B34" s="95"/>
      <c r="C34" s="77"/>
      <c r="D34" s="86"/>
      <c r="E34" s="77"/>
      <c r="F34" s="77"/>
      <c r="G34" s="77"/>
      <c r="H34" s="77"/>
      <c r="I34" s="77"/>
      <c r="J34" s="77"/>
      <c r="K34" s="77"/>
      <c r="L34" s="77"/>
      <c r="M34" s="77"/>
      <c r="N34" s="77"/>
      <c r="O34" s="77"/>
      <c r="P34" s="77"/>
      <c r="Q34" s="77"/>
      <c r="R34" s="77"/>
      <c r="S34" s="77"/>
      <c r="T34" s="77"/>
      <c r="U34" s="86"/>
      <c r="V34" s="77"/>
      <c r="W34" s="98" t="s">
        <v>46</v>
      </c>
      <c r="X34" s="56"/>
      <c r="Y34" s="57"/>
      <c r="Z34" s="97"/>
      <c r="AA34" s="1"/>
      <c r="AB34" s="1"/>
    </row>
    <row r="35" ht="30.0" customHeight="1">
      <c r="A35" s="1"/>
      <c r="B35" s="95"/>
      <c r="C35" s="77"/>
      <c r="D35" s="86"/>
      <c r="E35" s="77"/>
      <c r="F35" s="77"/>
      <c r="G35" s="77"/>
      <c r="H35" s="77"/>
      <c r="I35" s="77"/>
      <c r="J35" s="77"/>
      <c r="K35" s="77"/>
      <c r="L35" s="77"/>
      <c r="M35" s="77"/>
      <c r="N35" s="77"/>
      <c r="O35" s="77"/>
      <c r="P35" s="77"/>
      <c r="Q35" s="77"/>
      <c r="R35" s="77"/>
      <c r="S35" s="77"/>
      <c r="T35" s="77"/>
      <c r="U35" s="86"/>
      <c r="V35" s="77"/>
      <c r="W35" s="99"/>
      <c r="X35" s="56"/>
      <c r="Y35" s="57"/>
      <c r="Z35" s="97"/>
      <c r="AA35" s="1"/>
      <c r="AB35" s="1"/>
    </row>
    <row r="36" ht="30.0" customHeight="1">
      <c r="A36" s="1"/>
      <c r="B36" s="95"/>
      <c r="C36" s="77"/>
      <c r="D36" s="86"/>
      <c r="E36" s="77"/>
      <c r="F36" s="77"/>
      <c r="G36" s="77"/>
      <c r="H36" s="77"/>
      <c r="I36" s="77"/>
      <c r="J36" s="77"/>
      <c r="K36" s="77"/>
      <c r="L36" s="77"/>
      <c r="M36" s="77"/>
      <c r="N36" s="77"/>
      <c r="O36" s="77"/>
      <c r="P36" s="77"/>
      <c r="Q36" s="77"/>
      <c r="R36" s="77"/>
      <c r="S36" s="77"/>
      <c r="T36" s="5"/>
      <c r="U36" s="86"/>
      <c r="V36" s="77"/>
      <c r="W36" s="77"/>
      <c r="X36" s="77"/>
      <c r="Y36" s="96"/>
      <c r="Z36" s="77"/>
      <c r="AA36" s="1"/>
      <c r="AB36" s="1"/>
    </row>
    <row r="37" ht="4.5" customHeight="1">
      <c r="A37" s="1"/>
      <c r="B37" s="85"/>
      <c r="C37" s="86"/>
      <c r="D37" s="86"/>
      <c r="E37" s="86"/>
      <c r="F37" s="86"/>
      <c r="G37" s="86"/>
      <c r="H37" s="86"/>
      <c r="I37" s="86"/>
      <c r="J37" s="86"/>
      <c r="K37" s="86"/>
      <c r="L37" s="86"/>
      <c r="M37" s="86"/>
      <c r="N37" s="86"/>
      <c r="O37" s="86"/>
      <c r="P37" s="86"/>
      <c r="Q37" s="86"/>
      <c r="R37" s="86"/>
      <c r="S37" s="86"/>
      <c r="T37" s="1"/>
      <c r="U37" s="86"/>
      <c r="V37" s="86"/>
      <c r="W37" s="86"/>
      <c r="X37" s="86"/>
      <c r="Y37" s="100"/>
      <c r="Z37" s="86"/>
      <c r="AA37" s="1"/>
      <c r="AB37" s="1"/>
    </row>
    <row r="38" ht="30.0" customHeight="1">
      <c r="A38" s="19"/>
      <c r="B38" s="101" t="s">
        <v>47</v>
      </c>
      <c r="C38" s="10"/>
      <c r="D38" s="10"/>
      <c r="E38" s="11"/>
      <c r="F38" s="66"/>
      <c r="G38" s="102" t="s">
        <v>48</v>
      </c>
      <c r="H38" s="10"/>
      <c r="I38" s="10"/>
      <c r="J38" s="10"/>
      <c r="K38" s="10"/>
      <c r="L38" s="10"/>
      <c r="M38" s="10"/>
      <c r="N38" s="10"/>
      <c r="O38" s="11"/>
      <c r="P38" s="66"/>
      <c r="Q38" s="102" t="s">
        <v>49</v>
      </c>
      <c r="R38" s="10"/>
      <c r="S38" s="10"/>
      <c r="T38" s="11"/>
      <c r="U38" s="103"/>
      <c r="V38" s="92" t="s">
        <v>50</v>
      </c>
      <c r="W38" s="10"/>
      <c r="X38" s="10"/>
      <c r="Y38" s="22"/>
      <c r="Z38" s="93"/>
      <c r="AA38" s="24"/>
      <c r="AB38" s="24"/>
    </row>
    <row r="39" ht="9.75" customHeight="1">
      <c r="A39" s="1"/>
      <c r="B39" s="104" t="s">
        <v>51</v>
      </c>
      <c r="C39" s="10"/>
      <c r="D39" s="10"/>
      <c r="E39" s="11"/>
      <c r="F39" s="86"/>
      <c r="G39" s="105" t="s">
        <v>52</v>
      </c>
      <c r="H39" s="10"/>
      <c r="I39" s="10"/>
      <c r="J39" s="10"/>
      <c r="K39" s="10"/>
      <c r="L39" s="10"/>
      <c r="M39" s="10"/>
      <c r="N39" s="10"/>
      <c r="O39" s="11"/>
      <c r="P39" s="86"/>
      <c r="Q39" s="77"/>
      <c r="R39" s="77"/>
      <c r="S39" s="77"/>
      <c r="T39" s="77"/>
      <c r="U39" s="86"/>
      <c r="V39" s="77"/>
      <c r="W39" s="77"/>
      <c r="X39" s="77"/>
      <c r="Y39" s="96"/>
      <c r="Z39" s="77"/>
      <c r="AA39" s="1"/>
      <c r="AB39" s="1"/>
    </row>
    <row r="40" ht="30.0" customHeight="1">
      <c r="A40" s="1"/>
      <c r="B40" s="106">
        <v>1.0</v>
      </c>
      <c r="C40" s="56"/>
      <c r="D40" s="56"/>
      <c r="E40" s="57"/>
      <c r="F40" s="86"/>
      <c r="G40" s="107">
        <v>5.0</v>
      </c>
      <c r="H40" s="56"/>
      <c r="I40" s="56"/>
      <c r="J40" s="56"/>
      <c r="K40" s="56"/>
      <c r="L40" s="56"/>
      <c r="M40" s="56"/>
      <c r="N40" s="56"/>
      <c r="O40" s="57"/>
      <c r="P40" s="86"/>
      <c r="Q40" s="108" t="s">
        <v>53</v>
      </c>
      <c r="R40" s="56"/>
      <c r="S40" s="109"/>
      <c r="T40" s="110" t="s">
        <v>54</v>
      </c>
      <c r="U40" s="86"/>
      <c r="V40" s="111" t="s">
        <v>55</v>
      </c>
      <c r="W40" s="112" t="s">
        <v>56</v>
      </c>
      <c r="X40" s="77"/>
      <c r="Y40" s="113"/>
      <c r="Z40" s="77"/>
      <c r="AA40" s="1"/>
      <c r="AB40" s="1"/>
    </row>
    <row r="41" ht="4.5" customHeight="1">
      <c r="A41" s="1"/>
      <c r="B41" s="114"/>
      <c r="C41" s="115"/>
      <c r="D41" s="115"/>
      <c r="E41" s="115"/>
      <c r="F41" s="86"/>
      <c r="G41" s="115"/>
      <c r="H41" s="115"/>
      <c r="I41" s="115"/>
      <c r="J41" s="115"/>
      <c r="K41" s="115"/>
      <c r="L41" s="115"/>
      <c r="M41" s="115"/>
      <c r="N41" s="115"/>
      <c r="O41" s="115"/>
      <c r="P41" s="86"/>
      <c r="Q41" s="77"/>
      <c r="R41" s="77"/>
      <c r="S41" s="77"/>
      <c r="T41" s="116"/>
      <c r="U41" s="86"/>
      <c r="V41" s="77"/>
      <c r="W41" s="77"/>
      <c r="X41" s="77"/>
      <c r="Y41" s="96"/>
      <c r="Z41" s="77"/>
      <c r="AA41" s="1"/>
      <c r="AB41" s="1"/>
    </row>
    <row r="42" ht="30.0" customHeight="1">
      <c r="A42" s="1"/>
      <c r="B42" s="117" t="s">
        <v>57</v>
      </c>
      <c r="C42" s="10"/>
      <c r="D42" s="10"/>
      <c r="E42" s="11"/>
      <c r="F42" s="86"/>
      <c r="G42" s="118" t="s">
        <v>58</v>
      </c>
      <c r="H42" s="10"/>
      <c r="I42" s="10"/>
      <c r="J42" s="10"/>
      <c r="K42" s="10"/>
      <c r="L42" s="10"/>
      <c r="M42" s="10"/>
      <c r="N42" s="10"/>
      <c r="O42" s="11"/>
      <c r="P42" s="86"/>
      <c r="Q42" s="77"/>
      <c r="R42" s="77"/>
      <c r="S42" s="77"/>
      <c r="T42" s="77"/>
      <c r="U42" s="86"/>
      <c r="V42" s="111" t="s">
        <v>59</v>
      </c>
      <c r="W42" s="119" t="s">
        <v>60</v>
      </c>
      <c r="X42" s="5"/>
      <c r="Y42" s="120" t="s">
        <v>61</v>
      </c>
      <c r="Z42" s="77"/>
      <c r="AA42" s="1"/>
      <c r="AB42" s="1"/>
    </row>
    <row r="43" ht="9.75" customHeight="1">
      <c r="A43" s="1"/>
      <c r="B43" s="121" t="s">
        <v>62</v>
      </c>
      <c r="C43" s="10"/>
      <c r="D43" s="10"/>
      <c r="E43" s="11"/>
      <c r="F43" s="86"/>
      <c r="G43" s="122" t="s">
        <v>63</v>
      </c>
      <c r="H43" s="38"/>
      <c r="I43" s="38"/>
      <c r="J43" s="38"/>
      <c r="K43" s="38"/>
      <c r="L43" s="38"/>
      <c r="M43" s="38"/>
      <c r="N43" s="38"/>
      <c r="O43" s="81"/>
      <c r="P43" s="86"/>
      <c r="Q43" s="77"/>
      <c r="R43" s="77"/>
      <c r="S43" s="77"/>
      <c r="T43" s="77"/>
      <c r="U43" s="86"/>
      <c r="V43" s="77"/>
      <c r="W43" s="77"/>
      <c r="X43" s="77"/>
      <c r="Y43" s="96"/>
      <c r="Z43" s="77"/>
      <c r="AA43" s="1"/>
      <c r="AB43" s="1"/>
    </row>
    <row r="44" ht="30.0" customHeight="1">
      <c r="A44" s="1"/>
      <c r="B44" s="123" t="s">
        <v>64</v>
      </c>
      <c r="C44" s="124"/>
      <c r="D44" s="124"/>
      <c r="E44" s="125"/>
      <c r="F44" s="86"/>
      <c r="G44" s="126" t="s">
        <v>65</v>
      </c>
      <c r="H44" s="124"/>
      <c r="I44" s="124"/>
      <c r="J44" s="124"/>
      <c r="K44" s="124"/>
      <c r="L44" s="124"/>
      <c r="M44" s="124"/>
      <c r="N44" s="124"/>
      <c r="O44" s="125"/>
      <c r="P44" s="86"/>
      <c r="Q44" s="77"/>
      <c r="R44" s="77"/>
      <c r="S44" s="77"/>
      <c r="T44" s="77"/>
      <c r="U44" s="86"/>
      <c r="V44" s="127" t="s">
        <v>66</v>
      </c>
      <c r="W44" s="128">
        <v>20.0</v>
      </c>
      <c r="X44" s="77"/>
      <c r="Y44" s="129">
        <v>0.1</v>
      </c>
      <c r="Z44" s="77"/>
      <c r="AA44" s="1"/>
      <c r="AB44" s="1"/>
    </row>
    <row r="45" ht="30.0" customHeight="1">
      <c r="A45" s="1"/>
      <c r="B45" s="130"/>
      <c r="C45" s="131"/>
      <c r="D45" s="131"/>
      <c r="E45" s="132"/>
      <c r="F45" s="133"/>
      <c r="G45" s="130"/>
      <c r="H45" s="131"/>
      <c r="I45" s="131"/>
      <c r="J45" s="131"/>
      <c r="K45" s="131"/>
      <c r="L45" s="131"/>
      <c r="M45" s="131"/>
      <c r="N45" s="131"/>
      <c r="O45" s="132"/>
      <c r="P45" s="133"/>
      <c r="Q45" s="134"/>
      <c r="R45" s="134"/>
      <c r="S45" s="5"/>
      <c r="T45" s="135"/>
      <c r="U45" s="136"/>
      <c r="V45" s="135"/>
      <c r="W45" s="135"/>
      <c r="X45" s="137" t="s">
        <v>67</v>
      </c>
      <c r="Y45" s="129">
        <v>0.2</v>
      </c>
      <c r="Z45" s="135"/>
      <c r="AA45" s="1"/>
      <c r="AB45" s="1"/>
    </row>
    <row r="46" ht="4.5" customHeight="1">
      <c r="A46" s="1"/>
      <c r="B46" s="138"/>
      <c r="C46" s="139"/>
      <c r="D46" s="139"/>
      <c r="E46" s="139"/>
      <c r="F46" s="139"/>
      <c r="G46" s="139"/>
      <c r="H46" s="139"/>
      <c r="I46" s="139"/>
      <c r="J46" s="139"/>
      <c r="K46" s="139"/>
      <c r="L46" s="139"/>
      <c r="M46" s="139"/>
      <c r="N46" s="139"/>
      <c r="O46" s="139"/>
      <c r="P46" s="139"/>
      <c r="Q46" s="139"/>
      <c r="R46" s="139"/>
      <c r="S46" s="14"/>
      <c r="T46" s="139"/>
      <c r="U46" s="139"/>
      <c r="V46" s="139"/>
      <c r="W46" s="139"/>
      <c r="X46" s="139"/>
      <c r="Y46" s="140"/>
      <c r="Z46" s="141"/>
      <c r="AA46" s="1"/>
      <c r="AB46" s="1"/>
    </row>
    <row r="47" ht="36.0" customHeight="1">
      <c r="A47" s="19"/>
      <c r="B47" s="101" t="s">
        <v>68</v>
      </c>
      <c r="C47" s="10"/>
      <c r="D47" s="10"/>
      <c r="E47" s="10"/>
      <c r="F47" s="10"/>
      <c r="G47" s="11"/>
      <c r="H47" s="66"/>
      <c r="I47" s="66" t="s">
        <v>69</v>
      </c>
      <c r="J47" s="142" t="s">
        <v>70</v>
      </c>
      <c r="K47" s="10"/>
      <c r="L47" s="10"/>
      <c r="M47" s="10"/>
      <c r="N47" s="10"/>
      <c r="O47" s="10"/>
      <c r="P47" s="10"/>
      <c r="Q47" s="10"/>
      <c r="R47" s="10"/>
      <c r="S47" s="10"/>
      <c r="T47" s="11"/>
      <c r="U47" s="143"/>
      <c r="V47" s="144" t="s">
        <v>71</v>
      </c>
      <c r="W47" s="10"/>
      <c r="X47" s="10"/>
      <c r="Y47" s="22"/>
      <c r="Z47" s="145"/>
      <c r="AA47" s="24"/>
      <c r="AB47" s="24"/>
    </row>
    <row r="48" ht="4.5" customHeight="1">
      <c r="A48" s="1"/>
      <c r="B48" s="146"/>
      <c r="C48" s="147"/>
      <c r="D48" s="86"/>
      <c r="E48" s="86"/>
      <c r="F48" s="86"/>
      <c r="G48" s="86"/>
      <c r="H48" s="86"/>
      <c r="I48" s="86"/>
      <c r="J48" s="86"/>
      <c r="K48" s="86"/>
      <c r="L48" s="86"/>
      <c r="M48" s="86"/>
      <c r="N48" s="86"/>
      <c r="O48" s="86"/>
      <c r="P48" s="86"/>
      <c r="Q48" s="86"/>
      <c r="R48" s="86"/>
      <c r="S48" s="86"/>
      <c r="T48" s="86"/>
      <c r="U48" s="86"/>
      <c r="V48" s="86"/>
      <c r="W48" s="86"/>
      <c r="X48" s="86"/>
      <c r="Y48" s="100"/>
      <c r="Z48" s="86"/>
      <c r="AA48" s="1"/>
      <c r="AB48" s="1"/>
    </row>
    <row r="49" ht="21.75" customHeight="1">
      <c r="A49" s="1"/>
      <c r="B49" s="95"/>
      <c r="C49" s="77"/>
      <c r="D49" s="77"/>
      <c r="E49" s="77"/>
      <c r="F49" s="77"/>
      <c r="G49" s="77"/>
      <c r="H49" s="86"/>
      <c r="I49" s="86"/>
      <c r="J49" s="148" t="s">
        <v>72</v>
      </c>
      <c r="K49" s="56"/>
      <c r="L49" s="56"/>
      <c r="M49" s="56"/>
      <c r="N49" s="56"/>
      <c r="O49" s="56"/>
      <c r="P49" s="56"/>
      <c r="Q49" s="57"/>
      <c r="R49" s="148" t="s">
        <v>73</v>
      </c>
      <c r="S49" s="57"/>
      <c r="T49" s="149" t="s">
        <v>74</v>
      </c>
      <c r="U49" s="143"/>
      <c r="V49" s="150" t="s">
        <v>75</v>
      </c>
      <c r="W49" s="57"/>
      <c r="X49" s="150" t="s">
        <v>76</v>
      </c>
      <c r="Y49" s="57"/>
      <c r="Z49" s="151"/>
      <c r="AA49" s="1"/>
      <c r="AB49" s="1"/>
    </row>
    <row r="50" ht="25.5" customHeight="1">
      <c r="A50" s="1"/>
      <c r="B50" s="152"/>
      <c r="C50" s="5"/>
      <c r="D50" s="5"/>
      <c r="E50" s="5"/>
      <c r="F50" s="5"/>
      <c r="G50" s="5"/>
      <c r="H50" s="86"/>
      <c r="I50" s="86"/>
      <c r="J50" s="153" t="s">
        <v>77</v>
      </c>
      <c r="K50" s="56"/>
      <c r="L50" s="56"/>
      <c r="M50" s="56"/>
      <c r="N50" s="56"/>
      <c r="O50" s="56"/>
      <c r="P50" s="56"/>
      <c r="Q50" s="57"/>
      <c r="R50" s="154" t="s">
        <v>78</v>
      </c>
      <c r="S50" s="57"/>
      <c r="T50" s="155" t="s">
        <v>21</v>
      </c>
      <c r="U50" s="86"/>
      <c r="V50" s="156" t="s">
        <v>79</v>
      </c>
      <c r="W50" s="156" t="s">
        <v>80</v>
      </c>
      <c r="X50" s="156" t="s">
        <v>79</v>
      </c>
      <c r="Y50" s="156" t="s">
        <v>80</v>
      </c>
      <c r="Z50" s="157"/>
      <c r="AA50" s="1"/>
      <c r="AB50" s="1"/>
    </row>
    <row r="51" ht="25.5" customHeight="1">
      <c r="A51" s="1"/>
      <c r="B51" s="31" t="s">
        <v>81</v>
      </c>
      <c r="C51" s="158"/>
      <c r="D51" s="84">
        <v>4000.0</v>
      </c>
      <c r="E51" s="38"/>
      <c r="F51" s="38"/>
      <c r="G51" s="81"/>
      <c r="H51" s="86"/>
      <c r="I51" s="86"/>
      <c r="J51" s="153" t="s">
        <v>82</v>
      </c>
      <c r="K51" s="56"/>
      <c r="L51" s="56"/>
      <c r="M51" s="56"/>
      <c r="N51" s="56"/>
      <c r="O51" s="56"/>
      <c r="P51" s="56"/>
      <c r="Q51" s="57"/>
      <c r="R51" s="154" t="s">
        <v>83</v>
      </c>
      <c r="S51" s="57"/>
      <c r="T51" s="155" t="s">
        <v>84</v>
      </c>
      <c r="U51" s="86"/>
      <c r="V51" s="159">
        <v>50000.0</v>
      </c>
      <c r="W51" s="159"/>
      <c r="X51" s="159">
        <v>100000.0</v>
      </c>
      <c r="Y51" s="159"/>
      <c r="Z51" s="77"/>
      <c r="AA51" s="1"/>
      <c r="AB51" s="1"/>
    </row>
    <row r="52" ht="25.5" customHeight="1">
      <c r="A52" s="1"/>
      <c r="B52" s="31" t="s">
        <v>85</v>
      </c>
      <c r="C52" s="158"/>
      <c r="D52" s="84" t="s">
        <v>86</v>
      </c>
      <c r="E52" s="38"/>
      <c r="F52" s="38"/>
      <c r="G52" s="81"/>
      <c r="H52" s="160"/>
      <c r="I52" s="160"/>
      <c r="J52" s="153" t="s">
        <v>87</v>
      </c>
      <c r="K52" s="56"/>
      <c r="L52" s="56"/>
      <c r="M52" s="56"/>
      <c r="N52" s="56"/>
      <c r="O52" s="56"/>
      <c r="P52" s="56"/>
      <c r="Q52" s="57"/>
      <c r="R52" s="154"/>
      <c r="S52" s="57"/>
      <c r="T52" s="155"/>
      <c r="U52" s="136"/>
      <c r="V52" s="135"/>
      <c r="W52" s="135"/>
      <c r="X52" s="135"/>
      <c r="Y52" s="161"/>
      <c r="Z52" s="135"/>
      <c r="AA52" s="1"/>
      <c r="AB52" s="1"/>
    </row>
    <row r="53" ht="25.5" customHeight="1">
      <c r="A53" s="1"/>
      <c r="B53" s="31" t="s">
        <v>88</v>
      </c>
      <c r="C53" s="158"/>
      <c r="D53" s="84" t="s">
        <v>89</v>
      </c>
      <c r="E53" s="38"/>
      <c r="F53" s="38"/>
      <c r="G53" s="81"/>
      <c r="H53" s="160"/>
      <c r="I53" s="160"/>
      <c r="J53" s="153" t="s">
        <v>90</v>
      </c>
      <c r="K53" s="56"/>
      <c r="L53" s="56"/>
      <c r="M53" s="56"/>
      <c r="N53" s="56"/>
      <c r="O53" s="56"/>
      <c r="P53" s="56"/>
      <c r="Q53" s="57"/>
      <c r="R53" s="154"/>
      <c r="S53" s="57"/>
      <c r="T53" s="155"/>
      <c r="U53" s="162"/>
      <c r="V53" s="102" t="s">
        <v>91</v>
      </c>
      <c r="W53" s="10"/>
      <c r="X53" s="10"/>
      <c r="Y53" s="22"/>
      <c r="Z53" s="163"/>
      <c r="AA53" s="1"/>
      <c r="AB53" s="1"/>
    </row>
    <row r="54" ht="25.5" customHeight="1">
      <c r="A54" s="1"/>
      <c r="B54" s="31" t="s">
        <v>92</v>
      </c>
      <c r="C54" s="158"/>
      <c r="D54" s="84">
        <v>4.0</v>
      </c>
      <c r="E54" s="38"/>
      <c r="F54" s="38"/>
      <c r="G54" s="81"/>
      <c r="H54" s="1"/>
      <c r="I54" s="1"/>
      <c r="J54" s="153" t="s">
        <v>93</v>
      </c>
      <c r="K54" s="56"/>
      <c r="L54" s="56"/>
      <c r="M54" s="56"/>
      <c r="N54" s="56"/>
      <c r="O54" s="56"/>
      <c r="P54" s="56"/>
      <c r="Q54" s="57"/>
      <c r="R54" s="154"/>
      <c r="S54" s="57"/>
      <c r="T54" s="155"/>
      <c r="U54" s="1"/>
      <c r="V54" s="164"/>
      <c r="W54" s="164" t="s">
        <v>94</v>
      </c>
      <c r="X54" s="164" t="s">
        <v>95</v>
      </c>
      <c r="Y54" s="164" t="s">
        <v>96</v>
      </c>
      <c r="Z54" s="5"/>
      <c r="AA54" s="1"/>
      <c r="AB54" s="1"/>
    </row>
    <row r="55" ht="25.5" customHeight="1">
      <c r="A55" s="1"/>
      <c r="B55" s="31" t="s">
        <v>97</v>
      </c>
      <c r="C55" s="158"/>
      <c r="D55" s="84">
        <v>80.0</v>
      </c>
      <c r="E55" s="38"/>
      <c r="F55" s="38"/>
      <c r="G55" s="81"/>
      <c r="H55" s="165"/>
      <c r="I55" s="165"/>
      <c r="J55" s="153" t="s">
        <v>98</v>
      </c>
      <c r="K55" s="56"/>
      <c r="L55" s="56"/>
      <c r="M55" s="56"/>
      <c r="N55" s="56"/>
      <c r="O55" s="56"/>
      <c r="P55" s="56"/>
      <c r="Q55" s="57"/>
      <c r="R55" s="154"/>
      <c r="S55" s="57"/>
      <c r="T55" s="155"/>
      <c r="U55" s="165"/>
      <c r="V55" s="166" t="s">
        <v>99</v>
      </c>
      <c r="W55" s="167"/>
      <c r="X55" s="168">
        <v>1.0</v>
      </c>
      <c r="Y55" s="167"/>
      <c r="Z55" s="169"/>
      <c r="AA55" s="1"/>
      <c r="AB55" s="1"/>
    </row>
    <row r="56" ht="25.5" customHeight="1">
      <c r="A56" s="1"/>
      <c r="B56" s="152"/>
      <c r="C56" s="5"/>
      <c r="D56" s="5"/>
      <c r="E56" s="5"/>
      <c r="F56" s="5"/>
      <c r="G56" s="5"/>
      <c r="H56" s="1"/>
      <c r="I56" s="1"/>
      <c r="J56" s="153" t="s">
        <v>100</v>
      </c>
      <c r="K56" s="56"/>
      <c r="L56" s="56"/>
      <c r="M56" s="56"/>
      <c r="N56" s="56"/>
      <c r="O56" s="56"/>
      <c r="P56" s="56"/>
      <c r="Q56" s="57"/>
      <c r="R56" s="154"/>
      <c r="S56" s="57"/>
      <c r="T56" s="155"/>
      <c r="U56" s="1"/>
      <c r="V56" s="166" t="s">
        <v>101</v>
      </c>
      <c r="W56" s="167"/>
      <c r="X56" s="168">
        <v>1.0</v>
      </c>
      <c r="Y56" s="167"/>
      <c r="Z56" s="5"/>
      <c r="AA56" s="1"/>
      <c r="AB56" s="1"/>
    </row>
    <row r="57" ht="25.5" customHeight="1">
      <c r="A57" s="1"/>
      <c r="B57" s="152"/>
      <c r="C57" s="5"/>
      <c r="D57" s="5"/>
      <c r="E57" s="5"/>
      <c r="F57" s="5"/>
      <c r="G57" s="5"/>
      <c r="H57" s="1"/>
      <c r="I57" s="1"/>
      <c r="J57" s="153" t="s">
        <v>102</v>
      </c>
      <c r="K57" s="56"/>
      <c r="L57" s="56"/>
      <c r="M57" s="56"/>
      <c r="N57" s="56"/>
      <c r="O57" s="56"/>
      <c r="P57" s="56"/>
      <c r="Q57" s="57"/>
      <c r="R57" s="154"/>
      <c r="S57" s="57"/>
      <c r="T57" s="155"/>
      <c r="U57" s="1"/>
      <c r="V57" s="5"/>
      <c r="W57" s="5"/>
      <c r="X57" s="5"/>
      <c r="Y57" s="170"/>
      <c r="Z57" s="5"/>
      <c r="AA57" s="1"/>
      <c r="AB57" s="1"/>
    </row>
    <row r="58" ht="25.5" customHeight="1">
      <c r="A58" s="1"/>
      <c r="B58" s="152"/>
      <c r="C58" s="5"/>
      <c r="D58" s="5"/>
      <c r="E58" s="5"/>
      <c r="F58" s="5"/>
      <c r="G58" s="5"/>
      <c r="H58" s="1"/>
      <c r="I58" s="1"/>
      <c r="J58" s="153" t="s">
        <v>103</v>
      </c>
      <c r="K58" s="56"/>
      <c r="L58" s="56"/>
      <c r="M58" s="56"/>
      <c r="N58" s="56"/>
      <c r="O58" s="56"/>
      <c r="P58" s="56"/>
      <c r="Q58" s="57"/>
      <c r="R58" s="154"/>
      <c r="S58" s="57"/>
      <c r="T58" s="155"/>
      <c r="U58" s="1"/>
      <c r="V58" s="5"/>
      <c r="W58" s="5"/>
      <c r="X58" s="5"/>
      <c r="Y58" s="170"/>
      <c r="Z58" s="5"/>
      <c r="AA58" s="1"/>
      <c r="AB58" s="1"/>
    </row>
    <row r="59" ht="25.5" customHeight="1">
      <c r="A59" s="1"/>
      <c r="B59" s="152"/>
      <c r="C59" s="5"/>
      <c r="D59" s="5"/>
      <c r="E59" s="5"/>
      <c r="F59" s="5"/>
      <c r="G59" s="5"/>
      <c r="H59" s="1"/>
      <c r="I59" s="1"/>
      <c r="J59" s="153" t="s">
        <v>104</v>
      </c>
      <c r="K59" s="56"/>
      <c r="L59" s="56"/>
      <c r="M59" s="56"/>
      <c r="N59" s="56"/>
      <c r="O59" s="56"/>
      <c r="P59" s="56"/>
      <c r="Q59" s="57"/>
      <c r="R59" s="154"/>
      <c r="S59" s="57"/>
      <c r="T59" s="155"/>
      <c r="U59" s="1"/>
      <c r="V59" s="5"/>
      <c r="W59" s="5"/>
      <c r="X59" s="5"/>
      <c r="Y59" s="170"/>
      <c r="Z59" s="5"/>
      <c r="AA59" s="1"/>
      <c r="AB59" s="1"/>
    </row>
    <row r="60" ht="25.5" customHeight="1">
      <c r="A60" s="1"/>
      <c r="B60" s="152"/>
      <c r="C60" s="5"/>
      <c r="D60" s="5"/>
      <c r="E60" s="5"/>
      <c r="F60" s="5"/>
      <c r="G60" s="5"/>
      <c r="H60" s="1"/>
      <c r="I60" s="1"/>
      <c r="J60" s="153" t="s">
        <v>105</v>
      </c>
      <c r="K60" s="56"/>
      <c r="L60" s="56"/>
      <c r="M60" s="56"/>
      <c r="N60" s="56"/>
      <c r="O60" s="56"/>
      <c r="P60" s="56"/>
      <c r="Q60" s="57"/>
      <c r="R60" s="154"/>
      <c r="S60" s="57"/>
      <c r="T60" s="155"/>
      <c r="U60" s="1"/>
      <c r="V60" s="5"/>
      <c r="W60" s="5"/>
      <c r="X60" s="5"/>
      <c r="Y60" s="170"/>
      <c r="Z60" s="5"/>
      <c r="AA60" s="1"/>
      <c r="AB60" s="1"/>
    </row>
    <row r="61" ht="25.5" customHeight="1">
      <c r="A61" s="1"/>
      <c r="B61" s="152"/>
      <c r="C61" s="5"/>
      <c r="D61" s="5"/>
      <c r="E61" s="5"/>
      <c r="F61" s="5"/>
      <c r="G61" s="5"/>
      <c r="H61" s="1"/>
      <c r="I61" s="1"/>
      <c r="J61" s="153" t="s">
        <v>106</v>
      </c>
      <c r="K61" s="56"/>
      <c r="L61" s="56"/>
      <c r="M61" s="56"/>
      <c r="N61" s="56"/>
      <c r="O61" s="56"/>
      <c r="P61" s="56"/>
      <c r="Q61" s="57"/>
      <c r="R61" s="154"/>
      <c r="S61" s="57"/>
      <c r="T61" s="155"/>
      <c r="U61" s="1"/>
      <c r="V61" s="5"/>
      <c r="W61" s="5"/>
      <c r="X61" s="5"/>
      <c r="Y61" s="170"/>
      <c r="Z61" s="5"/>
      <c r="AA61" s="1"/>
      <c r="AB61" s="1"/>
    </row>
    <row r="62" ht="25.5" customHeight="1">
      <c r="A62" s="1"/>
      <c r="B62" s="152"/>
      <c r="C62" s="5"/>
      <c r="D62" s="5"/>
      <c r="E62" s="5"/>
      <c r="F62" s="5"/>
      <c r="G62" s="5"/>
      <c r="H62" s="1"/>
      <c r="I62" s="1"/>
      <c r="J62" s="153" t="s">
        <v>107</v>
      </c>
      <c r="K62" s="56"/>
      <c r="L62" s="56"/>
      <c r="M62" s="56"/>
      <c r="N62" s="56"/>
      <c r="O62" s="56"/>
      <c r="P62" s="56"/>
      <c r="Q62" s="57"/>
      <c r="R62" s="154"/>
      <c r="S62" s="57"/>
      <c r="T62" s="155"/>
      <c r="U62" s="1"/>
      <c r="V62" s="5"/>
      <c r="W62" s="5"/>
      <c r="X62" s="5"/>
      <c r="Y62" s="170"/>
      <c r="Z62" s="5"/>
      <c r="AA62" s="1"/>
      <c r="AB62" s="1"/>
    </row>
    <row r="63" ht="25.5" customHeight="1">
      <c r="A63" s="1"/>
      <c r="B63" s="152"/>
      <c r="C63" s="5"/>
      <c r="D63" s="5"/>
      <c r="E63" s="5"/>
      <c r="F63" s="5"/>
      <c r="G63" s="5"/>
      <c r="H63" s="1"/>
      <c r="I63" s="1"/>
      <c r="J63" s="153" t="s">
        <v>108</v>
      </c>
      <c r="K63" s="56"/>
      <c r="L63" s="56"/>
      <c r="M63" s="56"/>
      <c r="N63" s="56"/>
      <c r="O63" s="56"/>
      <c r="P63" s="56"/>
      <c r="Q63" s="57"/>
      <c r="R63" s="154"/>
      <c r="S63" s="57"/>
      <c r="T63" s="155"/>
      <c r="U63" s="1"/>
      <c r="V63" s="5"/>
      <c r="W63" s="5"/>
      <c r="X63" s="5"/>
      <c r="Y63" s="170"/>
      <c r="Z63" s="5"/>
      <c r="AA63" s="1"/>
      <c r="AB63" s="1"/>
    </row>
    <row r="64" ht="25.5" customHeight="1">
      <c r="A64" s="1"/>
      <c r="B64" s="171"/>
      <c r="C64" s="172"/>
      <c r="D64" s="172"/>
      <c r="E64" s="172"/>
      <c r="F64" s="172"/>
      <c r="G64" s="172"/>
      <c r="H64" s="173"/>
      <c r="I64" s="173"/>
      <c r="J64" s="153" t="s">
        <v>109</v>
      </c>
      <c r="K64" s="56"/>
      <c r="L64" s="56"/>
      <c r="M64" s="56"/>
      <c r="N64" s="56"/>
      <c r="O64" s="56"/>
      <c r="P64" s="56"/>
      <c r="Q64" s="57"/>
      <c r="R64" s="154"/>
      <c r="S64" s="57"/>
      <c r="T64" s="155"/>
      <c r="U64" s="173"/>
      <c r="V64" s="172"/>
      <c r="W64" s="172"/>
      <c r="X64" s="172"/>
      <c r="Y64" s="174"/>
      <c r="Z64" s="5"/>
      <c r="AA64" s="1"/>
      <c r="AB64" s="1"/>
    </row>
    <row r="65" ht="9.75" customHeight="1">
      <c r="A65" s="1"/>
      <c r="B65" s="175"/>
      <c r="C65" s="10"/>
      <c r="D65" s="10"/>
      <c r="E65" s="10"/>
      <c r="F65" s="10"/>
      <c r="G65" s="10"/>
      <c r="H65" s="10"/>
      <c r="I65" s="10"/>
      <c r="J65" s="10"/>
      <c r="K65" s="10"/>
      <c r="L65" s="10"/>
      <c r="M65" s="10"/>
      <c r="N65" s="10"/>
      <c r="O65" s="10"/>
      <c r="P65" s="10"/>
      <c r="Q65" s="10"/>
      <c r="R65" s="10"/>
      <c r="S65" s="10"/>
      <c r="T65" s="10"/>
      <c r="U65" s="10"/>
      <c r="V65" s="10"/>
      <c r="W65" s="10"/>
      <c r="X65" s="10"/>
      <c r="Y65" s="22"/>
      <c r="Z65" s="1"/>
      <c r="AA65" s="1"/>
      <c r="AB65" s="1"/>
    </row>
    <row r="66" ht="30.0" customHeight="1">
      <c r="A66" s="1"/>
      <c r="B66" s="176" t="s">
        <v>110</v>
      </c>
      <c r="C66" s="177"/>
      <c r="D66" s="177"/>
      <c r="E66" s="177"/>
      <c r="F66" s="177"/>
      <c r="G66" s="177"/>
      <c r="H66" s="177"/>
      <c r="I66" s="178"/>
      <c r="J66" s="3"/>
      <c r="K66" s="3"/>
      <c r="L66" s="3"/>
      <c r="M66" s="3"/>
      <c r="N66" s="3"/>
      <c r="O66" s="3"/>
      <c r="P66" s="3"/>
      <c r="Q66" s="3"/>
      <c r="R66" s="3"/>
      <c r="S66" s="3"/>
      <c r="T66" s="3"/>
      <c r="U66" s="3"/>
      <c r="V66" s="3"/>
      <c r="W66" s="3"/>
      <c r="X66" s="3"/>
      <c r="Y66" s="4"/>
      <c r="Z66" s="1"/>
      <c r="AA66" s="1"/>
      <c r="AB66" s="1"/>
    </row>
    <row r="67" ht="9.75" customHeight="1">
      <c r="A67" s="1"/>
      <c r="B67" s="179"/>
      <c r="C67" s="180"/>
      <c r="D67" s="180"/>
      <c r="E67" s="1"/>
      <c r="F67" s="1"/>
      <c r="G67" s="1"/>
      <c r="H67" s="1"/>
      <c r="I67" s="1"/>
      <c r="J67" s="1"/>
      <c r="K67" s="1"/>
      <c r="L67" s="1"/>
      <c r="M67" s="1"/>
      <c r="N67" s="1"/>
      <c r="O67" s="1"/>
      <c r="P67" s="1"/>
      <c r="Q67" s="1"/>
      <c r="R67" s="1"/>
      <c r="S67" s="1"/>
      <c r="T67" s="1"/>
      <c r="U67" s="1"/>
      <c r="V67" s="1"/>
      <c r="W67" s="1"/>
      <c r="X67" s="1"/>
      <c r="Y67" s="7"/>
      <c r="Z67" s="1"/>
      <c r="AA67" s="1"/>
      <c r="AB67" s="1"/>
    </row>
    <row r="68" ht="30.0" customHeight="1">
      <c r="A68" s="1"/>
      <c r="B68" s="181" t="s">
        <v>111</v>
      </c>
      <c r="Y68" s="182"/>
      <c r="Z68" s="134"/>
      <c r="AA68" s="1"/>
      <c r="AB68" s="1"/>
    </row>
    <row r="69" ht="30.0" customHeight="1">
      <c r="A69" s="1"/>
      <c r="B69" s="183"/>
      <c r="Y69" s="182"/>
      <c r="Z69" s="134"/>
      <c r="AA69" s="1"/>
      <c r="AB69" s="1"/>
    </row>
    <row r="70" ht="30.0" customHeight="1">
      <c r="A70" s="1"/>
      <c r="B70" s="183"/>
      <c r="Y70" s="182"/>
      <c r="Z70" s="134"/>
      <c r="AA70" s="1"/>
      <c r="AB70" s="1"/>
    </row>
    <row r="71" ht="30.0" customHeight="1">
      <c r="A71" s="1"/>
      <c r="B71" s="183"/>
      <c r="Y71" s="182"/>
      <c r="Z71" s="134"/>
      <c r="AA71" s="1"/>
      <c r="AB71" s="1"/>
    </row>
    <row r="72" ht="90.0" customHeight="1">
      <c r="A72" s="1"/>
      <c r="B72" s="130"/>
      <c r="C72" s="131"/>
      <c r="D72" s="131"/>
      <c r="E72" s="131"/>
      <c r="F72" s="131"/>
      <c r="G72" s="131"/>
      <c r="H72" s="131"/>
      <c r="I72" s="131"/>
      <c r="J72" s="131"/>
      <c r="K72" s="131"/>
      <c r="L72" s="131"/>
      <c r="M72" s="131"/>
      <c r="N72" s="131"/>
      <c r="O72" s="131"/>
      <c r="P72" s="131"/>
      <c r="Q72" s="131"/>
      <c r="R72" s="131"/>
      <c r="S72" s="131"/>
      <c r="T72" s="131"/>
      <c r="U72" s="131"/>
      <c r="V72" s="131"/>
      <c r="W72" s="131"/>
      <c r="X72" s="131"/>
      <c r="Y72" s="132"/>
      <c r="Z72" s="134"/>
      <c r="AA72" s="1"/>
      <c r="AB72" s="1"/>
    </row>
    <row r="73" ht="9.75" customHeight="1">
      <c r="A73" s="1"/>
      <c r="B73" s="6"/>
      <c r="C73" s="1"/>
      <c r="D73" s="1"/>
      <c r="E73" s="1"/>
      <c r="F73" s="1"/>
      <c r="G73" s="1"/>
      <c r="H73" s="1"/>
      <c r="I73" s="1"/>
      <c r="J73" s="1"/>
      <c r="K73" s="1"/>
      <c r="L73" s="1"/>
      <c r="M73" s="1"/>
      <c r="N73" s="1"/>
      <c r="O73" s="1"/>
      <c r="P73" s="1"/>
      <c r="Q73" s="1"/>
      <c r="R73" s="1"/>
      <c r="S73" s="1"/>
      <c r="T73" s="1"/>
      <c r="U73" s="1"/>
      <c r="V73" s="1"/>
      <c r="W73" s="1"/>
      <c r="X73" s="1"/>
      <c r="Y73" s="7"/>
      <c r="Z73" s="1"/>
      <c r="AA73" s="1"/>
      <c r="AB73" s="1"/>
    </row>
    <row r="74" ht="30.0" customHeight="1">
      <c r="A74" s="1"/>
      <c r="B74" s="184" t="s">
        <v>112</v>
      </c>
      <c r="C74" s="185"/>
      <c r="D74" s="185"/>
      <c r="E74" s="185"/>
      <c r="F74" s="185"/>
      <c r="G74" s="185"/>
      <c r="H74" s="185"/>
      <c r="I74" s="185"/>
      <c r="J74" s="186"/>
      <c r="K74" s="186"/>
      <c r="L74" s="186"/>
      <c r="M74" s="186"/>
      <c r="N74" s="186"/>
      <c r="O74" s="186"/>
      <c r="P74" s="186"/>
      <c r="Q74" s="186"/>
      <c r="R74" s="1"/>
      <c r="S74" s="1"/>
      <c r="T74" s="1"/>
      <c r="U74" s="1"/>
      <c r="V74" s="1"/>
      <c r="W74" s="1"/>
      <c r="X74" s="1"/>
      <c r="Y74" s="7"/>
      <c r="Z74" s="1"/>
      <c r="AA74" s="1"/>
      <c r="AB74" s="1"/>
    </row>
    <row r="75" ht="9.75" customHeight="1">
      <c r="A75" s="1"/>
      <c r="B75" s="6"/>
      <c r="C75" s="1"/>
      <c r="D75" s="1"/>
      <c r="E75" s="1"/>
      <c r="F75" s="1"/>
      <c r="G75" s="1"/>
      <c r="H75" s="1"/>
      <c r="I75" s="1"/>
      <c r="J75" s="1"/>
      <c r="K75" s="1"/>
      <c r="L75" s="1"/>
      <c r="M75" s="1"/>
      <c r="N75" s="1"/>
      <c r="O75" s="1"/>
      <c r="P75" s="1"/>
      <c r="Q75" s="1"/>
      <c r="R75" s="1"/>
      <c r="S75" s="1"/>
      <c r="T75" s="1"/>
      <c r="U75" s="1"/>
      <c r="V75" s="1"/>
      <c r="W75" s="1"/>
      <c r="X75" s="1"/>
      <c r="Y75" s="7"/>
      <c r="Z75" s="1"/>
      <c r="AA75" s="1"/>
      <c r="AB75" s="1"/>
    </row>
    <row r="76" ht="30.0" customHeight="1">
      <c r="A76" s="1"/>
      <c r="B76" s="187" t="s">
        <v>113</v>
      </c>
      <c r="C76" s="177"/>
      <c r="D76" s="177"/>
      <c r="E76" s="177"/>
      <c r="F76" s="177"/>
      <c r="G76" s="177"/>
      <c r="H76" s="177"/>
      <c r="I76" s="177"/>
      <c r="J76" s="177"/>
      <c r="K76" s="177"/>
      <c r="L76" s="177"/>
      <c r="M76" s="177"/>
      <c r="N76" s="177"/>
      <c r="O76" s="177"/>
      <c r="P76" s="177"/>
      <c r="Q76" s="177"/>
      <c r="R76" s="177"/>
      <c r="S76" s="177"/>
      <c r="T76" s="177"/>
      <c r="U76" s="177"/>
      <c r="V76" s="177"/>
      <c r="W76" s="177"/>
      <c r="X76" s="177"/>
      <c r="Y76" s="188"/>
      <c r="Z76" s="134"/>
      <c r="AA76" s="1"/>
      <c r="AB76" s="1"/>
    </row>
    <row r="77" ht="30.0" customHeight="1">
      <c r="A77" s="1"/>
      <c r="B77" s="189" t="s">
        <v>114</v>
      </c>
      <c r="C77" s="10"/>
      <c r="D77" s="10"/>
      <c r="E77" s="10"/>
      <c r="F77" s="10"/>
      <c r="G77" s="10"/>
      <c r="H77" s="10"/>
      <c r="I77" s="10"/>
      <c r="J77" s="10"/>
      <c r="K77" s="10"/>
      <c r="L77" s="10"/>
      <c r="M77" s="10"/>
      <c r="N77" s="10"/>
      <c r="O77" s="10"/>
      <c r="P77" s="10"/>
      <c r="Q77" s="10"/>
      <c r="R77" s="10"/>
      <c r="S77" s="10"/>
      <c r="T77" s="10"/>
      <c r="U77" s="10"/>
      <c r="V77" s="10"/>
      <c r="W77" s="10"/>
      <c r="X77" s="10"/>
      <c r="Y77" s="22"/>
      <c r="Z77" s="134"/>
      <c r="AA77" s="1"/>
      <c r="AB77" s="1"/>
    </row>
    <row r="78" ht="30.0" customHeight="1">
      <c r="A78" s="1"/>
      <c r="B78" s="189" t="s">
        <v>115</v>
      </c>
      <c r="C78" s="10"/>
      <c r="D78" s="10"/>
      <c r="E78" s="10"/>
      <c r="F78" s="10"/>
      <c r="G78" s="10"/>
      <c r="H78" s="10"/>
      <c r="I78" s="10"/>
      <c r="J78" s="10"/>
      <c r="K78" s="10"/>
      <c r="L78" s="10"/>
      <c r="M78" s="10"/>
      <c r="N78" s="10"/>
      <c r="O78" s="10"/>
      <c r="P78" s="10"/>
      <c r="Q78" s="10"/>
      <c r="R78" s="10"/>
      <c r="S78" s="10"/>
      <c r="T78" s="10"/>
      <c r="U78" s="10"/>
      <c r="V78" s="10"/>
      <c r="W78" s="10"/>
      <c r="X78" s="10"/>
      <c r="Y78" s="22"/>
      <c r="Z78" s="134"/>
      <c r="AA78" s="1"/>
      <c r="AB78" s="1"/>
    </row>
    <row r="79" ht="30.0" customHeight="1">
      <c r="A79" s="1"/>
      <c r="B79" s="190" t="s">
        <v>116</v>
      </c>
      <c r="C79" s="38"/>
      <c r="D79" s="38"/>
      <c r="E79" s="38"/>
      <c r="F79" s="38"/>
      <c r="G79" s="38"/>
      <c r="H79" s="38"/>
      <c r="I79" s="38"/>
      <c r="J79" s="38"/>
      <c r="K79" s="38"/>
      <c r="L79" s="38"/>
      <c r="M79" s="38"/>
      <c r="N79" s="38"/>
      <c r="O79" s="38"/>
      <c r="P79" s="38"/>
      <c r="Q79" s="38"/>
      <c r="R79" s="38"/>
      <c r="S79" s="38"/>
      <c r="T79" s="38"/>
      <c r="U79" s="38"/>
      <c r="V79" s="38"/>
      <c r="W79" s="38"/>
      <c r="X79" s="38"/>
      <c r="Y79" s="39"/>
      <c r="Z79" s="134"/>
      <c r="AA79" s="1"/>
      <c r="AB79" s="1"/>
    </row>
    <row r="80" ht="9.75" customHeight="1">
      <c r="A80" s="1"/>
      <c r="B80" s="6"/>
      <c r="C80" s="1"/>
      <c r="D80" s="1"/>
      <c r="E80" s="1"/>
      <c r="F80" s="1"/>
      <c r="G80" s="1"/>
      <c r="H80" s="1"/>
      <c r="I80" s="1"/>
      <c r="J80" s="1"/>
      <c r="K80" s="1"/>
      <c r="L80" s="1"/>
      <c r="M80" s="1"/>
      <c r="N80" s="1"/>
      <c r="O80" s="1"/>
      <c r="P80" s="1"/>
      <c r="Q80" s="1"/>
      <c r="R80" s="1"/>
      <c r="S80" s="1"/>
      <c r="T80" s="1"/>
      <c r="U80" s="1"/>
      <c r="V80" s="1"/>
      <c r="W80" s="1"/>
      <c r="X80" s="1"/>
      <c r="Y80" s="7"/>
      <c r="Z80" s="1"/>
      <c r="AA80" s="1"/>
      <c r="AB80" s="1"/>
    </row>
    <row r="81" ht="30.0" customHeight="1">
      <c r="A81" s="1"/>
      <c r="B81" s="191" t="s">
        <v>117</v>
      </c>
      <c r="C81" s="185"/>
      <c r="D81" s="185"/>
      <c r="E81" s="185"/>
      <c r="F81" s="185"/>
      <c r="G81" s="185"/>
      <c r="H81" s="185"/>
      <c r="I81" s="185"/>
      <c r="J81" s="186"/>
      <c r="K81" s="186"/>
      <c r="L81" s="186"/>
      <c r="M81" s="186"/>
      <c r="N81" s="186"/>
      <c r="O81" s="186"/>
      <c r="P81" s="186"/>
      <c r="Q81" s="186"/>
      <c r="R81" s="1"/>
      <c r="S81" s="1"/>
      <c r="T81" s="1"/>
      <c r="U81" s="1"/>
      <c r="V81" s="1"/>
      <c r="W81" s="1"/>
      <c r="X81" s="1"/>
      <c r="Y81" s="7"/>
      <c r="Z81" s="1"/>
      <c r="AA81" s="1"/>
      <c r="AB81" s="1"/>
    </row>
    <row r="82" ht="9.75" customHeight="1">
      <c r="A82" s="1"/>
      <c r="B82" s="6"/>
      <c r="C82" s="1"/>
      <c r="D82" s="1"/>
      <c r="E82" s="1"/>
      <c r="F82" s="1"/>
      <c r="G82" s="1"/>
      <c r="H82" s="1"/>
      <c r="I82" s="1"/>
      <c r="J82" s="1"/>
      <c r="K82" s="1"/>
      <c r="L82" s="1"/>
      <c r="M82" s="1"/>
      <c r="N82" s="1"/>
      <c r="O82" s="1"/>
      <c r="P82" s="1"/>
      <c r="Q82" s="1"/>
      <c r="R82" s="1"/>
      <c r="S82" s="1"/>
      <c r="T82" s="1"/>
      <c r="U82" s="1"/>
      <c r="V82" s="1"/>
      <c r="W82" s="1"/>
      <c r="X82" s="1"/>
      <c r="Y82" s="7"/>
      <c r="Z82" s="1"/>
      <c r="AA82" s="1"/>
      <c r="AB82" s="1"/>
    </row>
    <row r="83" ht="30.0" customHeight="1">
      <c r="A83" s="1"/>
      <c r="B83" s="187" t="s">
        <v>118</v>
      </c>
      <c r="C83" s="177"/>
      <c r="D83" s="177"/>
      <c r="E83" s="177"/>
      <c r="F83" s="177"/>
      <c r="G83" s="177"/>
      <c r="H83" s="177"/>
      <c r="I83" s="177"/>
      <c r="J83" s="177"/>
      <c r="K83" s="177"/>
      <c r="L83" s="177"/>
      <c r="M83" s="177"/>
      <c r="N83" s="177"/>
      <c r="O83" s="177"/>
      <c r="P83" s="177"/>
      <c r="Q83" s="177"/>
      <c r="R83" s="177"/>
      <c r="S83" s="177"/>
      <c r="T83" s="177"/>
      <c r="U83" s="177"/>
      <c r="V83" s="177"/>
      <c r="W83" s="177"/>
      <c r="X83" s="177"/>
      <c r="Y83" s="188"/>
      <c r="Z83" s="134"/>
      <c r="AA83" s="1"/>
      <c r="AB83" s="1"/>
    </row>
    <row r="84" ht="30.0" customHeight="1">
      <c r="A84" s="1"/>
      <c r="B84" s="189" t="s">
        <v>119</v>
      </c>
      <c r="C84" s="10"/>
      <c r="D84" s="10"/>
      <c r="E84" s="10"/>
      <c r="F84" s="10"/>
      <c r="G84" s="10"/>
      <c r="H84" s="10"/>
      <c r="I84" s="10"/>
      <c r="J84" s="10"/>
      <c r="K84" s="10"/>
      <c r="L84" s="10"/>
      <c r="M84" s="10"/>
      <c r="N84" s="10"/>
      <c r="O84" s="10"/>
      <c r="P84" s="10"/>
      <c r="Q84" s="10"/>
      <c r="R84" s="10"/>
      <c r="S84" s="10"/>
      <c r="T84" s="10"/>
      <c r="U84" s="10"/>
      <c r="V84" s="10"/>
      <c r="W84" s="10"/>
      <c r="X84" s="10"/>
      <c r="Y84" s="22"/>
      <c r="Z84" s="134"/>
      <c r="AA84" s="1"/>
      <c r="AB84" s="1"/>
    </row>
    <row r="85" ht="30.0" customHeight="1">
      <c r="A85" s="1"/>
      <c r="B85" s="189" t="s">
        <v>120</v>
      </c>
      <c r="C85" s="10"/>
      <c r="D85" s="10"/>
      <c r="E85" s="10"/>
      <c r="F85" s="10"/>
      <c r="G85" s="10"/>
      <c r="H85" s="10"/>
      <c r="I85" s="10"/>
      <c r="J85" s="10"/>
      <c r="K85" s="10"/>
      <c r="L85" s="10"/>
      <c r="M85" s="10"/>
      <c r="N85" s="10"/>
      <c r="O85" s="10"/>
      <c r="P85" s="10"/>
      <c r="Q85" s="10"/>
      <c r="R85" s="10"/>
      <c r="S85" s="10"/>
      <c r="T85" s="10"/>
      <c r="U85" s="10"/>
      <c r="V85" s="10"/>
      <c r="W85" s="10"/>
      <c r="X85" s="10"/>
      <c r="Y85" s="22"/>
      <c r="Z85" s="134"/>
      <c r="AA85" s="1"/>
      <c r="AB85" s="1"/>
    </row>
    <row r="86" ht="30.0" customHeight="1">
      <c r="A86" s="1"/>
      <c r="B86" s="190" t="s">
        <v>121</v>
      </c>
      <c r="C86" s="38"/>
      <c r="D86" s="38"/>
      <c r="E86" s="38"/>
      <c r="F86" s="38"/>
      <c r="G86" s="38"/>
      <c r="H86" s="38"/>
      <c r="I86" s="38"/>
      <c r="J86" s="38"/>
      <c r="K86" s="38"/>
      <c r="L86" s="38"/>
      <c r="M86" s="38"/>
      <c r="N86" s="38"/>
      <c r="O86" s="38"/>
      <c r="P86" s="38"/>
      <c r="Q86" s="38"/>
      <c r="R86" s="38"/>
      <c r="S86" s="38"/>
      <c r="T86" s="38"/>
      <c r="U86" s="38"/>
      <c r="V86" s="38"/>
      <c r="W86" s="38"/>
      <c r="X86" s="38"/>
      <c r="Y86" s="39"/>
      <c r="Z86" s="134"/>
      <c r="AA86" s="1"/>
      <c r="AB86" s="1"/>
    </row>
    <row r="87" ht="30.0" customHeight="1">
      <c r="A87" s="1"/>
      <c r="B87" s="6"/>
      <c r="C87" s="1"/>
      <c r="D87" s="1"/>
      <c r="E87" s="1"/>
      <c r="F87" s="1"/>
      <c r="G87" s="1"/>
      <c r="H87" s="1"/>
      <c r="I87" s="1"/>
      <c r="J87" s="1"/>
      <c r="K87" s="1"/>
      <c r="L87" s="1"/>
      <c r="M87" s="1"/>
      <c r="N87" s="1"/>
      <c r="O87" s="1"/>
      <c r="P87" s="1"/>
      <c r="Q87" s="1"/>
      <c r="R87" s="1"/>
      <c r="S87" s="1"/>
      <c r="T87" s="1"/>
      <c r="U87" s="1"/>
      <c r="V87" s="1"/>
      <c r="W87" s="1"/>
      <c r="X87" s="1"/>
      <c r="Y87" s="7"/>
      <c r="Z87" s="1"/>
      <c r="AA87" s="1"/>
      <c r="AB87" s="1"/>
    </row>
    <row r="88" ht="30.0" customHeight="1">
      <c r="A88" s="1"/>
      <c r="B88" s="192" t="s">
        <v>122</v>
      </c>
      <c r="C88" s="193"/>
      <c r="D88" s="193"/>
      <c r="E88" s="193"/>
      <c r="F88" s="193"/>
      <c r="G88" s="193"/>
      <c r="H88" s="193"/>
      <c r="I88" s="8"/>
      <c r="J88" s="8"/>
      <c r="K88" s="8"/>
      <c r="L88" s="8"/>
      <c r="M88" s="8"/>
      <c r="N88" s="8"/>
      <c r="O88" s="8"/>
      <c r="P88" s="8"/>
      <c r="Q88" s="8"/>
      <c r="R88" s="8"/>
      <c r="S88" s="8"/>
      <c r="T88" s="193" t="s">
        <v>123</v>
      </c>
      <c r="U88" s="8"/>
      <c r="V88" s="8"/>
      <c r="W88" s="8"/>
      <c r="X88" s="1"/>
      <c r="Y88" s="7"/>
      <c r="Z88" s="1"/>
      <c r="AA88" s="1"/>
      <c r="AB88" s="1"/>
    </row>
    <row r="89" ht="30.0" customHeight="1">
      <c r="A89" s="1"/>
      <c r="B89" s="192"/>
      <c r="C89" s="193"/>
      <c r="D89" s="193"/>
      <c r="E89" s="193"/>
      <c r="F89" s="193"/>
      <c r="G89" s="193"/>
      <c r="H89" s="193"/>
      <c r="I89" s="8"/>
      <c r="J89" s="8"/>
      <c r="K89" s="8"/>
      <c r="L89" s="8"/>
      <c r="M89" s="8"/>
      <c r="N89" s="8"/>
      <c r="O89" s="8"/>
      <c r="P89" s="8"/>
      <c r="Q89" s="8"/>
      <c r="R89" s="8"/>
      <c r="S89" s="8"/>
      <c r="T89" s="8"/>
      <c r="U89" s="8"/>
      <c r="V89" s="8"/>
      <c r="W89" s="8"/>
      <c r="X89" s="1"/>
      <c r="Y89" s="7"/>
      <c r="Z89" s="1"/>
      <c r="AA89" s="1"/>
      <c r="AB89" s="1"/>
    </row>
    <row r="90" ht="30.0" customHeight="1">
      <c r="A90" s="1"/>
      <c r="B90" s="194"/>
      <c r="C90" s="195"/>
      <c r="D90" s="195"/>
      <c r="E90" s="195"/>
      <c r="F90" s="195"/>
      <c r="G90" s="195"/>
      <c r="H90" s="193"/>
      <c r="I90" s="8"/>
      <c r="J90" s="8"/>
      <c r="K90" s="8"/>
      <c r="L90" s="8"/>
      <c r="M90" s="8"/>
      <c r="N90" s="8"/>
      <c r="O90" s="8"/>
      <c r="P90" s="8"/>
      <c r="Q90" s="8"/>
      <c r="R90" s="8"/>
      <c r="S90" s="8"/>
      <c r="T90" s="196"/>
      <c r="U90" s="196"/>
      <c r="V90" s="196"/>
      <c r="W90" s="196"/>
      <c r="X90" s="1"/>
      <c r="Y90" s="7"/>
      <c r="Z90" s="1"/>
      <c r="AA90" s="1"/>
      <c r="AB90" s="1"/>
    </row>
    <row r="91" ht="30.0" customHeight="1">
      <c r="A91" s="1"/>
      <c r="B91" s="197" t="s">
        <v>124</v>
      </c>
      <c r="C91" s="10"/>
      <c r="D91" s="10"/>
      <c r="E91" s="10"/>
      <c r="F91" s="10"/>
      <c r="G91" s="11"/>
      <c r="H91" s="193"/>
      <c r="I91" s="8"/>
      <c r="J91" s="8"/>
      <c r="K91" s="8"/>
      <c r="L91" s="8"/>
      <c r="M91" s="8"/>
      <c r="N91" s="8"/>
      <c r="O91" s="8"/>
      <c r="P91" s="8"/>
      <c r="Q91" s="8"/>
      <c r="R91" s="8"/>
      <c r="S91" s="8"/>
      <c r="T91" s="198" t="s">
        <v>125</v>
      </c>
      <c r="U91" s="10"/>
      <c r="V91" s="10"/>
      <c r="W91" s="11"/>
      <c r="X91" s="1"/>
      <c r="Y91" s="7"/>
      <c r="Z91" s="1"/>
      <c r="AA91" s="1"/>
      <c r="AB91" s="1"/>
    </row>
    <row r="92" ht="30.0" customHeight="1">
      <c r="A92" s="1"/>
      <c r="B92" s="192"/>
      <c r="C92" s="193"/>
      <c r="D92" s="193"/>
      <c r="E92" s="193"/>
      <c r="F92" s="193"/>
      <c r="G92" s="193"/>
      <c r="H92" s="193"/>
      <c r="I92" s="8"/>
      <c r="J92" s="8"/>
      <c r="K92" s="8"/>
      <c r="L92" s="8"/>
      <c r="M92" s="8"/>
      <c r="N92" s="8"/>
      <c r="O92" s="8"/>
      <c r="P92" s="8"/>
      <c r="Q92" s="8"/>
      <c r="R92" s="8"/>
      <c r="S92" s="8"/>
      <c r="T92" s="8"/>
      <c r="U92" s="8"/>
      <c r="V92" s="8"/>
      <c r="W92" s="8"/>
      <c r="X92" s="1"/>
      <c r="Y92" s="7"/>
      <c r="Z92" s="1"/>
      <c r="AA92" s="1"/>
      <c r="AB92" s="1"/>
    </row>
    <row r="93" ht="30.0" customHeight="1">
      <c r="A93" s="1"/>
      <c r="B93" s="199"/>
      <c r="C93" s="173"/>
      <c r="D93" s="173"/>
      <c r="E93" s="173"/>
      <c r="F93" s="173"/>
      <c r="G93" s="173"/>
      <c r="H93" s="173"/>
      <c r="I93" s="173"/>
      <c r="J93" s="173"/>
      <c r="K93" s="173"/>
      <c r="L93" s="173"/>
      <c r="M93" s="173"/>
      <c r="N93" s="173"/>
      <c r="O93" s="173"/>
      <c r="P93" s="173"/>
      <c r="Q93" s="173"/>
      <c r="R93" s="173"/>
      <c r="S93" s="173"/>
      <c r="T93" s="173"/>
      <c r="U93" s="173"/>
      <c r="V93" s="173"/>
      <c r="W93" s="173"/>
      <c r="X93" s="173"/>
      <c r="Y93" s="200"/>
      <c r="Z93" s="1"/>
      <c r="AA93" s="1"/>
      <c r="AB93" s="1"/>
    </row>
    <row r="94" ht="30.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30.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30.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30.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30.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30.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30.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30.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30.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30.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30.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30.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30.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30.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30.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30.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30.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30.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30.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30.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30.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30.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30.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30.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30.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30.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30.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30.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30.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30.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30.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30.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30.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30.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30.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30.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30.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30.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30.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30.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30.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30.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30.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30.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30.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30.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30.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30.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30.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30.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30.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30.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30.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30.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30.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30.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30.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30.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30.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30.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30.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30.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30.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30.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30.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30.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30.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30.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30.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30.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30.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30.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30.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30.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30.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30.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30.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30.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30.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30.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30.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30.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30.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30.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30.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30.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30.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30.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30.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30.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30.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30.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30.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30.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30.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30.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30.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30.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30.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30.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30.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30.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30.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30.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30.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30.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30.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30.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30.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30.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30.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30.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30.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30.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30.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30.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30.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30.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30.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30.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30.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30.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30.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30.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30.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30.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30.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30.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30.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30.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30.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30.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30.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30.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30.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30.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30.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30.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30.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30.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30.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30.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30.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30.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30.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30.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30.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30.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30.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30.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30.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30.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30.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30.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30.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30.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30.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30.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30.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30.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30.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30.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30.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30.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30.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30.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30.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30.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30.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30.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30.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30.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30.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30.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30.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30.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30.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30.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30.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30.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30.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30.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30.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30.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30.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30.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30.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30.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30.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30.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30.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30.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30.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30.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30.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30.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30.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30.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30.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30.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30.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30.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30.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30.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30.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30.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30.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30.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30.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30.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30.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30.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30.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30.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30.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30.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30.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30.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30.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30.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30.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30.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30.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30.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30.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30.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30.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30.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30.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30.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30.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30.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30.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30.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30.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30.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30.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30.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30.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30.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30.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30.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30.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30.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30.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30.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30.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30.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30.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30.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30.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30.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30.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30.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30.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30.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30.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30.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30.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30.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30.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30.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30.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30.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30.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30.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30.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30.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30.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30.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30.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30.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30.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30.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30.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30.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30.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30.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30.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30.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30.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30.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30.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30.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30.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30.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30.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30.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30.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30.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30.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30.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30.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30.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30.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30.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30.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30.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30.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30.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30.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30.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30.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30.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30.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30.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30.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30.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30.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30.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30.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30.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30.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30.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30.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30.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30.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30.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30.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30.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30.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30.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30.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30.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30.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30.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30.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30.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30.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30.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30.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30.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30.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30.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30.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30.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30.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30.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30.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30.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30.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30.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30.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30.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30.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30.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30.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30.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30.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30.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30.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30.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30.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30.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30.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30.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30.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30.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30.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30.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30.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30.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30.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30.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30.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30.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30.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30.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30.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30.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30.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30.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30.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30.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30.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30.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30.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30.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30.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30.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30.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30.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30.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30.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30.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30.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30.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30.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30.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30.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30.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30.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30.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30.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30.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30.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30.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30.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30.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30.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30.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30.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30.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30.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30.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30.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30.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30.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30.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30.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30.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30.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30.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30.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30.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30.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30.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30.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30.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30.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30.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30.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30.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30.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30.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30.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30.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30.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30.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30.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30.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30.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30.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30.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30.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30.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30.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30.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30.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30.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30.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30.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30.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30.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30.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30.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30.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30.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30.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30.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30.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30.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30.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30.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30.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30.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30.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30.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30.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30.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30.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30.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30.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30.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30.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30.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30.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30.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30.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30.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30.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30.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30.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30.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30.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30.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30.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30.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30.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30.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30.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30.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30.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30.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30.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30.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30.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30.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30.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30.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30.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30.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30.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30.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30.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30.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30.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30.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30.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30.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30.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30.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30.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30.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30.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30.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30.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30.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30.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30.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30.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30.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30.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30.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30.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30.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30.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30.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30.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30.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30.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30.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30.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30.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30.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30.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30.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30.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30.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30.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30.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30.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30.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30.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30.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30.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30.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30.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30.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30.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30.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30.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30.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30.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30.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30.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30.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30.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30.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30.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30.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30.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30.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30.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30.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30.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30.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30.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30.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30.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30.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30.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30.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30.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30.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30.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30.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30.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30.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30.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30.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30.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30.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30.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30.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30.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30.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30.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30.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30.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30.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30.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30.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30.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30.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30.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30.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30.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30.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30.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30.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30.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30.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30.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30.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30.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30.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30.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30.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30.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30.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30.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30.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30.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30.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30.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30.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30.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30.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30.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30.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30.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30.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30.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30.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30.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30.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30.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30.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30.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30.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30.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30.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30.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30.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30.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30.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30.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30.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30.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30.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30.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30.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30.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30.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30.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30.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30.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30.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30.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30.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30.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30.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30.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30.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30.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30.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30.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30.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30.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30.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30.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30.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30.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30.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30.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30.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30.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30.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30.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30.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30.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30.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30.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30.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30.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30.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30.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30.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30.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30.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30.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30.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30.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30.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30.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30.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30.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30.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30.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30.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30.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30.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30.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30.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30.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30.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30.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30.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30.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30.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30.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30.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30.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30.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30.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30.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30.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30.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30.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30.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30.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30.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30.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30.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30.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30.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30.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30.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30.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30.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30.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30.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30.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30.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30.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30.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30.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30.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30.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30.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30.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30.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30.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30.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30.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30.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30.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30.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30.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30.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30.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30.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30.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30.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30.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30.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30.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30.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30.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30.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30.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30.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30.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30.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30.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30.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30.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30.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30.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30.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30.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30.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30.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30.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30.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30.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30.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30.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30.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30.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30.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30.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30.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30.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30.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30.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30.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30.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30.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30.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30.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30.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30.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30.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30.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30.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30.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30.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30.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30.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30.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30.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30.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30.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30.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30.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30.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30.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30.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30.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30.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30.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30.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30.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30.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30.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30.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30.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30.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30.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30.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30.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30.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30.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30.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30.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30.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30.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30.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30.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30.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30.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30.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30.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30.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30.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30.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30.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30.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30.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30.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30.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30.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30.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30.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30.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30.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30.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30.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30.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30.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30.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30.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30.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30.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30.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30.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30.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30.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30.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30.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30.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30.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30.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30.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30.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30.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30.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30.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30.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30.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30.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30.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30.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30.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30.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30.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30.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30.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30.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30.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30.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30.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30.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30.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30.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30.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30.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30.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30.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30.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30.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30.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30.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30.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30.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30.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30.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30.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30.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30.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30.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30.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30.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30.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30.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30.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30.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30.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30.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30.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30.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30.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30.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30.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30.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30.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30.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30.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30.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30.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30.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30.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30.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30.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30.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09">
    <mergeCell ref="E31:T31"/>
    <mergeCell ref="V31:Y31"/>
    <mergeCell ref="B38:E38"/>
    <mergeCell ref="G38:O38"/>
    <mergeCell ref="Q38:T38"/>
    <mergeCell ref="V38:Y38"/>
    <mergeCell ref="G39:O39"/>
    <mergeCell ref="B39:E39"/>
    <mergeCell ref="B40:E40"/>
    <mergeCell ref="G40:O40"/>
    <mergeCell ref="Q40:S40"/>
    <mergeCell ref="B42:E42"/>
    <mergeCell ref="G42:O42"/>
    <mergeCell ref="G43:O43"/>
    <mergeCell ref="D52:G52"/>
    <mergeCell ref="D53:G53"/>
    <mergeCell ref="D54:G54"/>
    <mergeCell ref="D55:G55"/>
    <mergeCell ref="R49:S49"/>
    <mergeCell ref="V49:W49"/>
    <mergeCell ref="J50:Q50"/>
    <mergeCell ref="R50:S50"/>
    <mergeCell ref="D51:G51"/>
    <mergeCell ref="R51:S51"/>
    <mergeCell ref="R52:S52"/>
    <mergeCell ref="J51:Q51"/>
    <mergeCell ref="J52:Q52"/>
    <mergeCell ref="J53:Q53"/>
    <mergeCell ref="R53:S53"/>
    <mergeCell ref="V53:Y53"/>
    <mergeCell ref="J54:Q54"/>
    <mergeCell ref="R54:S54"/>
    <mergeCell ref="J55:Q55"/>
    <mergeCell ref="R55:S55"/>
    <mergeCell ref="J56:Q56"/>
    <mergeCell ref="R56:S56"/>
    <mergeCell ref="J57:Q57"/>
    <mergeCell ref="R57:S57"/>
    <mergeCell ref="R58:S58"/>
    <mergeCell ref="J58:Q58"/>
    <mergeCell ref="J59:Q59"/>
    <mergeCell ref="R59:S59"/>
    <mergeCell ref="J60:Q60"/>
    <mergeCell ref="R60:S60"/>
    <mergeCell ref="J61:Q61"/>
    <mergeCell ref="R61:S61"/>
    <mergeCell ref="J62:Q62"/>
    <mergeCell ref="R62:S62"/>
    <mergeCell ref="J63:Q63"/>
    <mergeCell ref="R63:S63"/>
    <mergeCell ref="J64:Q64"/>
    <mergeCell ref="R64:S64"/>
    <mergeCell ref="B65:Y65"/>
    <mergeCell ref="B84:Y84"/>
    <mergeCell ref="B85:Y85"/>
    <mergeCell ref="B86:Y86"/>
    <mergeCell ref="B91:G91"/>
    <mergeCell ref="T91:W91"/>
    <mergeCell ref="B66:I66"/>
    <mergeCell ref="B68:Y72"/>
    <mergeCell ref="B76:Y76"/>
    <mergeCell ref="B77:Y77"/>
    <mergeCell ref="B78:Y78"/>
    <mergeCell ref="B79:Y79"/>
    <mergeCell ref="B83:Y83"/>
    <mergeCell ref="B5:Z5"/>
    <mergeCell ref="B6:Z6"/>
    <mergeCell ref="B7:Z7"/>
    <mergeCell ref="B8:Z8"/>
    <mergeCell ref="B9:Z9"/>
    <mergeCell ref="B10:Z10"/>
    <mergeCell ref="B12:Z12"/>
    <mergeCell ref="B13:R13"/>
    <mergeCell ref="T13:Y13"/>
    <mergeCell ref="D14:E14"/>
    <mergeCell ref="G14:H14"/>
    <mergeCell ref="J14:M14"/>
    <mergeCell ref="O14:R14"/>
    <mergeCell ref="V15:Y15"/>
    <mergeCell ref="T23:V23"/>
    <mergeCell ref="W23:Y23"/>
    <mergeCell ref="V26:Y26"/>
    <mergeCell ref="V17:Y17"/>
    <mergeCell ref="V19:Y19"/>
    <mergeCell ref="T21:Y21"/>
    <mergeCell ref="D22:R22"/>
    <mergeCell ref="T22:V22"/>
    <mergeCell ref="W22:Y22"/>
    <mergeCell ref="D23:R23"/>
    <mergeCell ref="V28:Y28"/>
    <mergeCell ref="V29:Y29"/>
    <mergeCell ref="W33:Y33"/>
    <mergeCell ref="W34:Y34"/>
    <mergeCell ref="W35:Y35"/>
    <mergeCell ref="B25:E25"/>
    <mergeCell ref="P25:T25"/>
    <mergeCell ref="V25:Y25"/>
    <mergeCell ref="E27:M27"/>
    <mergeCell ref="V27:Y27"/>
    <mergeCell ref="E28:M28"/>
    <mergeCell ref="E29:M29"/>
    <mergeCell ref="B43:E43"/>
    <mergeCell ref="B44:E45"/>
    <mergeCell ref="G44:O45"/>
    <mergeCell ref="B47:G47"/>
    <mergeCell ref="J47:T47"/>
    <mergeCell ref="V47:Y47"/>
    <mergeCell ref="J49:Q49"/>
    <mergeCell ref="X49:Y49"/>
  </mergeCells>
  <dataValidations>
    <dataValidation type="list" allowBlank="1" showErrorMessage="1" sqref="G44">
      <formula1>Sheet1!$A$2:$A$8</formula1>
    </dataValidation>
  </dataValidations>
  <printOptions horizontalCentered="1"/>
  <pageMargins bottom="0.32" footer="0.0" header="0.0" left="0.25" right="0.25" top="0.4"/>
  <pageSetup fitToHeight="0" paperSize="14" orientation="portrait"/>
  <headerFoot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0"/>
    <col customWidth="1" min="2" max="26" width="8.63"/>
  </cols>
  <sheetData>
    <row r="1" ht="13.5" customHeight="1">
      <c r="A1" s="201" t="s">
        <v>126</v>
      </c>
      <c r="B1" s="13"/>
      <c r="C1" s="13"/>
      <c r="D1" s="13"/>
      <c r="E1" s="13"/>
      <c r="F1" s="13"/>
      <c r="G1" s="13"/>
      <c r="H1" s="13"/>
      <c r="I1" s="13"/>
      <c r="J1" s="13"/>
      <c r="K1" s="13"/>
      <c r="L1" s="13"/>
      <c r="M1" s="13"/>
      <c r="N1" s="13"/>
      <c r="O1" s="13"/>
      <c r="P1" s="13"/>
      <c r="Q1" s="13"/>
      <c r="R1" s="13"/>
      <c r="S1" s="13"/>
      <c r="T1" s="13"/>
      <c r="U1" s="13"/>
      <c r="V1" s="13"/>
      <c r="W1" s="13"/>
      <c r="X1" s="13"/>
      <c r="Y1" s="13"/>
      <c r="Z1" s="13"/>
    </row>
    <row r="2" ht="13.5" customHeight="1">
      <c r="A2" s="13" t="s">
        <v>127</v>
      </c>
      <c r="B2" s="13"/>
      <c r="C2" s="13"/>
      <c r="D2" s="13"/>
      <c r="E2" s="13"/>
      <c r="F2" s="13"/>
      <c r="G2" s="13"/>
      <c r="H2" s="13"/>
      <c r="I2" s="13"/>
      <c r="J2" s="13"/>
      <c r="K2" s="13"/>
      <c r="L2" s="13"/>
      <c r="M2" s="13"/>
      <c r="N2" s="13"/>
      <c r="O2" s="13"/>
      <c r="P2" s="13"/>
      <c r="Q2" s="13"/>
      <c r="R2" s="13"/>
      <c r="S2" s="13"/>
      <c r="T2" s="13"/>
      <c r="U2" s="13"/>
      <c r="V2" s="13"/>
      <c r="W2" s="13"/>
      <c r="X2" s="13"/>
      <c r="Y2" s="13"/>
      <c r="Z2" s="13"/>
    </row>
    <row r="3" ht="13.5" customHeight="1">
      <c r="A3" s="13" t="s">
        <v>128</v>
      </c>
      <c r="B3" s="13"/>
      <c r="C3" s="13"/>
      <c r="D3" s="13"/>
      <c r="E3" s="13"/>
      <c r="F3" s="13"/>
      <c r="G3" s="13"/>
      <c r="H3" s="13"/>
      <c r="I3" s="13"/>
      <c r="J3" s="13"/>
      <c r="K3" s="13"/>
      <c r="L3" s="13"/>
      <c r="M3" s="13"/>
      <c r="N3" s="13"/>
      <c r="O3" s="13"/>
      <c r="P3" s="13"/>
      <c r="Q3" s="13"/>
      <c r="R3" s="13"/>
      <c r="S3" s="13"/>
      <c r="T3" s="13"/>
      <c r="U3" s="13"/>
      <c r="V3" s="13"/>
      <c r="W3" s="13"/>
      <c r="X3" s="13"/>
      <c r="Y3" s="13"/>
      <c r="Z3" s="13"/>
    </row>
    <row r="4" ht="13.5" customHeight="1">
      <c r="A4" s="13" t="s">
        <v>129</v>
      </c>
      <c r="B4" s="13"/>
      <c r="C4" s="13"/>
      <c r="D4" s="13"/>
      <c r="E4" s="13"/>
      <c r="F4" s="13"/>
      <c r="G4" s="13"/>
      <c r="H4" s="13"/>
      <c r="I4" s="13"/>
      <c r="J4" s="13"/>
      <c r="K4" s="13"/>
      <c r="L4" s="13"/>
      <c r="M4" s="13"/>
      <c r="N4" s="13"/>
      <c r="O4" s="13"/>
      <c r="P4" s="13"/>
      <c r="Q4" s="13"/>
      <c r="R4" s="13"/>
      <c r="S4" s="13"/>
      <c r="T4" s="13"/>
      <c r="U4" s="13"/>
      <c r="V4" s="13"/>
      <c r="W4" s="13"/>
      <c r="X4" s="13"/>
      <c r="Y4" s="13"/>
      <c r="Z4" s="13"/>
    </row>
    <row r="5" ht="13.5" customHeight="1">
      <c r="A5" s="13" t="s">
        <v>130</v>
      </c>
      <c r="B5" s="13"/>
      <c r="C5" s="13"/>
      <c r="D5" s="13"/>
      <c r="E5" s="13"/>
      <c r="F5" s="13"/>
      <c r="G5" s="13"/>
      <c r="H5" s="13"/>
      <c r="I5" s="13"/>
      <c r="J5" s="13"/>
      <c r="K5" s="13"/>
      <c r="L5" s="13"/>
      <c r="M5" s="13"/>
      <c r="N5" s="13"/>
      <c r="O5" s="13"/>
      <c r="P5" s="13"/>
      <c r="Q5" s="13"/>
      <c r="R5" s="13"/>
      <c r="S5" s="13"/>
      <c r="T5" s="13"/>
      <c r="U5" s="13"/>
      <c r="V5" s="13"/>
      <c r="W5" s="13"/>
      <c r="X5" s="13"/>
      <c r="Y5" s="13"/>
      <c r="Z5" s="13"/>
    </row>
    <row r="6" ht="13.5" customHeight="1">
      <c r="A6" s="13" t="s">
        <v>131</v>
      </c>
      <c r="B6" s="13"/>
      <c r="C6" s="13"/>
      <c r="D6" s="13"/>
      <c r="E6" s="13"/>
      <c r="F6" s="13"/>
      <c r="G6" s="13"/>
      <c r="H6" s="13"/>
      <c r="I6" s="13"/>
      <c r="J6" s="13"/>
      <c r="K6" s="13"/>
      <c r="L6" s="13"/>
      <c r="M6" s="13"/>
      <c r="N6" s="13"/>
      <c r="O6" s="13"/>
      <c r="P6" s="13"/>
      <c r="Q6" s="13"/>
      <c r="R6" s="13"/>
      <c r="S6" s="13"/>
      <c r="T6" s="13"/>
      <c r="U6" s="13"/>
      <c r="V6" s="13"/>
      <c r="W6" s="13"/>
      <c r="X6" s="13"/>
      <c r="Y6" s="13"/>
      <c r="Z6" s="13"/>
    </row>
    <row r="7" ht="13.5" customHeight="1">
      <c r="A7" s="13" t="s">
        <v>132</v>
      </c>
      <c r="B7" s="13"/>
      <c r="C7" s="13"/>
      <c r="D7" s="13"/>
      <c r="E7" s="13"/>
      <c r="F7" s="13"/>
      <c r="G7" s="13"/>
      <c r="H7" s="13"/>
      <c r="I7" s="13"/>
      <c r="J7" s="13"/>
      <c r="K7" s="13"/>
      <c r="L7" s="13"/>
      <c r="M7" s="13"/>
      <c r="N7" s="13"/>
      <c r="O7" s="13"/>
      <c r="P7" s="13"/>
      <c r="Q7" s="13"/>
      <c r="R7" s="13"/>
      <c r="S7" s="13"/>
      <c r="T7" s="13"/>
      <c r="U7" s="13"/>
      <c r="V7" s="13"/>
      <c r="W7" s="13"/>
      <c r="X7" s="13"/>
      <c r="Y7" s="13"/>
      <c r="Z7" s="13"/>
    </row>
    <row r="8" ht="13.5" customHeight="1">
      <c r="A8" s="13" t="s">
        <v>65</v>
      </c>
      <c r="B8" s="13"/>
      <c r="C8" s="13"/>
      <c r="D8" s="13"/>
      <c r="E8" s="13"/>
      <c r="F8" s="13"/>
      <c r="G8" s="13"/>
      <c r="H8" s="13"/>
      <c r="I8" s="13"/>
      <c r="J8" s="13"/>
      <c r="K8" s="13"/>
      <c r="L8" s="13"/>
      <c r="M8" s="13"/>
      <c r="N8" s="13"/>
      <c r="O8" s="13"/>
      <c r="P8" s="13"/>
      <c r="Q8" s="13"/>
      <c r="R8" s="13"/>
      <c r="S8" s="13"/>
      <c r="T8" s="13"/>
      <c r="U8" s="13"/>
      <c r="V8" s="13"/>
      <c r="W8" s="13"/>
      <c r="X8" s="13"/>
      <c r="Y8" s="13"/>
      <c r="Z8" s="13"/>
    </row>
    <row r="9" ht="13.5" customHeight="1">
      <c r="A9" s="13"/>
      <c r="B9" s="13"/>
      <c r="C9" s="13"/>
      <c r="D9" s="13"/>
      <c r="E9" s="13"/>
      <c r="F9" s="13"/>
      <c r="G9" s="13"/>
      <c r="H9" s="13"/>
      <c r="I9" s="13"/>
      <c r="J9" s="13"/>
      <c r="K9" s="13"/>
      <c r="L9" s="13"/>
      <c r="M9" s="13"/>
      <c r="N9" s="13"/>
      <c r="O9" s="13"/>
      <c r="P9" s="13"/>
      <c r="Q9" s="13"/>
      <c r="R9" s="13"/>
      <c r="S9" s="13"/>
      <c r="T9" s="13"/>
      <c r="U9" s="13"/>
      <c r="V9" s="13"/>
      <c r="W9" s="13"/>
      <c r="X9" s="13"/>
      <c r="Y9" s="13"/>
      <c r="Z9" s="13"/>
    </row>
    <row r="10" ht="13.5"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ht="13.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3.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3.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3.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3.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3.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3.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3.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3.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3.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3.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3.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3.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3.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3.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3.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3.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3.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3.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3.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3.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3.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3.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3.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3.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3.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3.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3.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3.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3.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3.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3.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3.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3.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3.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3.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3.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3.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3.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3.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3.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3.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3.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3.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3.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3.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3.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3.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3.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3.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3.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3.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3.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3.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3.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3.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3.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3.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3.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3.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3.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3.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3.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3.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3.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3.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3.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3.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3.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3.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3.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3.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3.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3.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3.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3.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3.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3.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3.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3.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3.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3.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3.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3.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3.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3.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3.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3.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3.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3.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3.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3.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3.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3.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3.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3.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3.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3.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3.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3.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3.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3.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3.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3.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3.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3.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3.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3.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3.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3.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3.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3.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3.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3.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3.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3.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3.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3.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3.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3.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3.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3.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3.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3.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3.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3.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3.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3.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3.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3.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3.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3.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3.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3.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3.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3.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3.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3.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3.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3.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3.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3.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3.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3.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3.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3.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3.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3.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3.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3.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3.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3.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3.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3.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3.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3.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3.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3.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3.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3.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3.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3.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3.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3.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3.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3.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3.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3.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3.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3.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3.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3.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3.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3.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3.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3.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3.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3.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3.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3.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3.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3.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3.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3.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3.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3.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3.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3.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3.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3.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3.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3.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3.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3.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3.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3.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3.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3.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3.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3.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3.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3.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3.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3.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3.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3.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3.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3.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3.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3.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3.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3.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3.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3.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3.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3.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3.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3.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3.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3.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3.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3.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3.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3.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3.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3.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3.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3.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3.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3.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3.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3.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3.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3.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3.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3.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3.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3.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3.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3.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3.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3.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3.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3.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3.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3.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3.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3.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3.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3.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3.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3.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3.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3.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3.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3.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3.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3.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3.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3.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3.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3.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3.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3.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3.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3.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3.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3.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3.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3.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3.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3.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3.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3.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3.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3.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3.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3.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3.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3.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3.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3.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3.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3.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3.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3.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3.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3.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3.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3.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3.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3.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3.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3.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3.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3.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3.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3.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3.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3.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3.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3.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3.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3.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3.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3.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3.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3.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3.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3.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3.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3.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3.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3.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3.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3.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3.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3.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3.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3.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3.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3.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3.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3.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3.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3.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3.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3.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3.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3.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3.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3.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3.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3.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3.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3.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3.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3.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3.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3.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3.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3.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3.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3.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3.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3.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3.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3.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3.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3.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3.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3.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3.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3.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3.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3.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3.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3.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3.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3.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3.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3.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3.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3.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3.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3.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3.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3.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3.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3.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3.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3.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3.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3.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3.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3.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3.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3.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3.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3.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3.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3.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3.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3.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3.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3.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3.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3.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3.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3.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3.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3.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3.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3.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3.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3.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3.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3.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3.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3.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3.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3.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3.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3.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3.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3.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3.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3.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3.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3.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3.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3.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3.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3.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3.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3.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3.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3.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3.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3.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3.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3.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3.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3.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3.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3.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3.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3.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3.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3.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3.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3.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3.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3.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3.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3.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3.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3.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3.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3.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3.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3.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3.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3.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3.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3.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3.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3.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3.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3.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3.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3.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3.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3.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3.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3.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3.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3.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3.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3.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3.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3.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3.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3.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3.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3.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3.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3.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3.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3.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3.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3.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3.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3.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3.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3.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3.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3.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3.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3.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3.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3.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3.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3.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3.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3.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3.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3.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3.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3.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3.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3.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3.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3.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3.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3.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3.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3.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3.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3.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3.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3.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3.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3.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3.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3.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3.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3.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3.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3.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3.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3.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3.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3.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3.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3.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3.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3.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3.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3.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3.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3.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3.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3.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3.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3.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3.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3.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3.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3.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3.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3.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3.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3.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3.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3.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3.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3.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3.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3.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3.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3.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3.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3.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3.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3.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3.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3.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3.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3.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3.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3.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3.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3.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3.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3.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3.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3.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3.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3.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3.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3.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3.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3.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3.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3.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3.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3.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3.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3.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3.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3.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3.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3.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3.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3.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3.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3.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3.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3.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3.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3.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3.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3.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3.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3.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3.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3.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3.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3.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3.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3.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3.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3.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3.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3.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3.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3.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3.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3.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3.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3.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3.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3.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3.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3.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3.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3.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3.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3.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3.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3.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3.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3.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3.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3.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3.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3.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3.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3.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3.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3.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3.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3.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3.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3.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3.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3.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3.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3.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3.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3.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3.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3.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3.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3.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3.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3.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3.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3.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3.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3.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3.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3.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3.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3.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3.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3.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3.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3.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3.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3.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3.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3.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3.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3.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3.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3.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3.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3.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3.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3.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3.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3.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3.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3.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3.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3.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3.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3.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3.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3.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3.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3.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3.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3.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3.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3.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3.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3.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3.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3.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3.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3.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3.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3.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3.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3.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3.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3.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3.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3.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3.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3.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3.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3.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3.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3.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3.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3.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3.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3.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3.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3.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3.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3.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3.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3.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3.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3.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3.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3.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3.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3.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3.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3.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3.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3.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3.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3.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3.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3.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3.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3.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3.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3.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3.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3.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3.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3.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3.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3.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3.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3.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3.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3.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3.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3.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3.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3.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3.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3.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3.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3.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3.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3.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3.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3.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3.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3.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3.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3.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3.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3.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3.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3.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3.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3.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3.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3.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3.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3.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3.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3.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3.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3.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3.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3.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3.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3.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3.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3.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3.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3.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3.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3.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3.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3.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3.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3.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3.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3.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3.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3.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3.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3.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3.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3.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3.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3.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3.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3.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3.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3.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3.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3.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3.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3.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3.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3.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3.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3.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3.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3.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3.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3.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3.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3.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3.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3.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3.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3.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3.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3.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3.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3.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3.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3.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3.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3.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3.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3.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3.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3.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3.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3.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3.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3.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3.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3.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3.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3.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3.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3.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3.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3.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3.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3.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3.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3.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3.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3.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3.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3.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3.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3.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3.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3.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3.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3.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3.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3.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3.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3.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3.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3.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3.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3.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3.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3.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3.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3.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3.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3.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3.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3.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3.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3.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3.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3.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3.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3.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3.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3.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3.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3.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3.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3.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3.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3.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3.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3.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3.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3.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3.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3.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3.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3.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3.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3.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3.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3.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3.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3.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3.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3.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3.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3.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3.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3.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3.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3.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3.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3.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3.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3.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3.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3.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3.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3.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3.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3.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3.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3.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3.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3.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3.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3.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3.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3.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3.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3.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3.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3.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3.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3.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3.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3.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3.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3.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3.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3.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3.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3.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3.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3.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3.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3.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3.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3.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3.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3.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3.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3.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3.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3.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3.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3.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3.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3.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3.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3.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3.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3.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3.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3.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3.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3.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3.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3.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3.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3.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3.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3.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3.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3.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3.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3.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3.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3.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3.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3.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3.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3.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3.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3.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3.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3.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3.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3.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3.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3.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3.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3.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3.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3.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3.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3.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3.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3.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88"/>
    <col customWidth="1" min="2" max="2" width="22.88"/>
    <col customWidth="1" min="3" max="26" width="8.88"/>
  </cols>
  <sheetData>
    <row r="1" ht="13.5" customHeight="1"/>
    <row r="2" ht="13.5" customHeight="1">
      <c r="C2" s="202" t="s">
        <v>133</v>
      </c>
    </row>
    <row r="3" ht="13.5" customHeight="1">
      <c r="B3" s="202" t="str">
        <f t="array" ref="B3">INDEX(#REF!,MATCH(1,#REF!,0),2)</f>
        <v>#REF!</v>
      </c>
      <c r="C3" s="202" t="str">
        <f t="array" ref="C3">INDEX(#REF!,MATCH(1,#REF!,0),4)</f>
        <v>#REF!</v>
      </c>
    </row>
    <row r="4" ht="13.5" customHeight="1">
      <c r="B4" s="202" t="str">
        <f t="array" ref="B4">INDEX(#REF!,MATCH(2,#REF!,0),2)</f>
        <v>#REF!</v>
      </c>
      <c r="C4" s="202" t="str">
        <f t="array" ref="C4">INDEX(#REF!,MATCH(2,#REF!,0),4)</f>
        <v>#REF!</v>
      </c>
    </row>
    <row r="5" ht="13.5" customHeight="1">
      <c r="B5" s="202" t="str">
        <f t="array" ref="B5">INDEX(#REF!,MATCH(3,#REF!,0),2)</f>
        <v>#REF!</v>
      </c>
      <c r="C5" s="202" t="str">
        <f t="array" ref="C5">INDEX(#REF!,MATCH(3,#REF!,0),4)</f>
        <v>#REF!</v>
      </c>
    </row>
    <row r="6" ht="13.5" customHeight="1">
      <c r="B6" s="202" t="str">
        <f t="array" ref="B6">INDEX(#REF!,MATCH(4,#REF!,0),2)</f>
        <v>#REF!</v>
      </c>
      <c r="C6" s="202" t="str">
        <f t="array" ref="C6">INDEX(#REF!,MATCH(4,#REF!,0),4)</f>
        <v>#REF!</v>
      </c>
    </row>
    <row r="7" ht="13.5" customHeight="1">
      <c r="B7" s="202" t="str">
        <f t="array" ref="B7">INDEX(#REF!,MATCH(5,#REF!,0),2)</f>
        <v>#REF!</v>
      </c>
      <c r="C7" s="202" t="str">
        <f t="array" ref="C7">INDEX(#REF!,MATCH(5,#REF!,0),4)</f>
        <v>#REF!</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2023-05-27T04:50:42Z</dcterms:created>
  <dc:creator>NUYDA MYRA GLOR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